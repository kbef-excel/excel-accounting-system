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58C80CBF-7774-4251-B4C0-C77E506FA42B}" xr6:coauthVersionLast="47" xr6:coauthVersionMax="47" xr10:uidLastSave="{00000000-0000-0000-0000-000000000000}"/>
  <bookViews>
    <workbookView xWindow="-110" yWindow="-110" windowWidth="19420" windowHeight="11020" firstSheet="1" activeTab="2" xr2:uid="{00000000-000D-0000-FFFF-FFFF00000000}"/>
  </bookViews>
  <sheets>
    <sheet name="Instructions" sheetId="8" r:id="rId1"/>
    <sheet name="Chart_of_Accounts" sheetId="1" r:id="rId2"/>
    <sheet name="Transactions" sheetId="2" r:id="rId3"/>
    <sheet name="General_Ledger" sheetId="3" r:id="rId4"/>
    <sheet name="Trial_Balance" sheetId="4" r:id="rId5"/>
    <sheet name="Income_Statement" sheetId="5" r:id="rId6"/>
    <sheet name="Balance_Sheet" sheetId="6" r:id="rId7"/>
    <sheet name="Dashboard" sheetId="7" r:id="rId8"/>
  </sheets>
  <definedNames>
    <definedName name="_xlnm._FilterDatabase" localSheetId="6" hidden="1">Balance_Sheet!$A$3:$C$21</definedName>
    <definedName name="_xlnm._FilterDatabase" localSheetId="3" hidden="1">General_Ledger!$A$3:$F$23</definedName>
    <definedName name="_xlnm._FilterDatabase" localSheetId="5" hidden="1">Income_Statement!$A$3:$E$18</definedName>
    <definedName name="_xlnm._FilterDatabase" localSheetId="4" hidden="1">Trial_Balance!$A$3:$C$18</definedName>
  </definedNames>
  <calcPr calcId="191029" iterate="1" iterateCount="1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3" l="1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4" i="3"/>
  <c r="A19" i="4"/>
  <c r="C19" i="4" s="1"/>
  <c r="A20" i="4"/>
  <c r="B20" i="4" s="1"/>
  <c r="A21" i="4"/>
  <c r="C21" i="4" s="1"/>
  <c r="A14" i="4"/>
  <c r="A15" i="4"/>
  <c r="A16" i="4"/>
  <c r="A17" i="4"/>
  <c r="A18" i="4"/>
  <c r="A11" i="4"/>
  <c r="A12" i="4"/>
  <c r="A13" i="4"/>
  <c r="A7" i="4"/>
  <c r="A8" i="4"/>
  <c r="A9" i="4"/>
  <c r="A10" i="4"/>
  <c r="A6" i="4"/>
  <c r="A5" i="4"/>
  <c r="A4" i="4"/>
  <c r="B4" i="7"/>
  <c r="B32" i="6"/>
  <c r="B33" i="6" s="1"/>
  <c r="B28" i="6"/>
  <c r="B29" i="6" s="1"/>
  <c r="B24" i="6"/>
  <c r="B23" i="6"/>
  <c r="B22" i="6"/>
  <c r="B21" i="6"/>
  <c r="B15" i="6"/>
  <c r="B14" i="6"/>
  <c r="B13" i="6"/>
  <c r="B12" i="6"/>
  <c r="B8" i="6"/>
  <c r="B7" i="6"/>
  <c r="B6" i="6"/>
  <c r="B5" i="6"/>
  <c r="C11" i="5"/>
  <c r="C12" i="5"/>
  <c r="C13" i="5"/>
  <c r="C10" i="5"/>
  <c r="B11" i="5"/>
  <c r="B12" i="5"/>
  <c r="B13" i="5"/>
  <c r="B10" i="5"/>
  <c r="C6" i="5"/>
  <c r="B6" i="5"/>
  <c r="C5" i="5"/>
  <c r="B5" i="5"/>
  <c r="G4" i="2"/>
  <c r="G5" i="2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5" i="3"/>
  <c r="C4" i="3"/>
  <c r="E104" i="3"/>
  <c r="D104" i="3"/>
  <c r="C104" i="3"/>
  <c r="B104" i="3"/>
  <c r="E103" i="3"/>
  <c r="D103" i="3"/>
  <c r="C103" i="3"/>
  <c r="B103" i="3"/>
  <c r="E102" i="3"/>
  <c r="D102" i="3"/>
  <c r="C102" i="3"/>
  <c r="B102" i="3"/>
  <c r="E101" i="3"/>
  <c r="D101" i="3"/>
  <c r="C101" i="3"/>
  <c r="B101" i="3"/>
  <c r="E100" i="3"/>
  <c r="D100" i="3"/>
  <c r="C100" i="3"/>
  <c r="B100" i="3"/>
  <c r="E99" i="3"/>
  <c r="D99" i="3"/>
  <c r="C99" i="3"/>
  <c r="B99" i="3"/>
  <c r="E98" i="3"/>
  <c r="D98" i="3"/>
  <c r="C98" i="3"/>
  <c r="F104" i="3" s="1"/>
  <c r="B98" i="3"/>
  <c r="E97" i="3"/>
  <c r="D97" i="3"/>
  <c r="C97" i="3"/>
  <c r="F103" i="3" s="1"/>
  <c r="B97" i="3"/>
  <c r="E96" i="3"/>
  <c r="D96" i="3"/>
  <c r="C96" i="3"/>
  <c r="F102" i="3" s="1"/>
  <c r="B96" i="3"/>
  <c r="E95" i="3"/>
  <c r="D95" i="3"/>
  <c r="C95" i="3"/>
  <c r="F101" i="3" s="1"/>
  <c r="B95" i="3"/>
  <c r="E94" i="3"/>
  <c r="D94" i="3"/>
  <c r="C94" i="3"/>
  <c r="F100" i="3" s="1"/>
  <c r="B94" i="3"/>
  <c r="E93" i="3"/>
  <c r="D93" i="3"/>
  <c r="C93" i="3"/>
  <c r="F99" i="3" s="1"/>
  <c r="B93" i="3"/>
  <c r="E92" i="3"/>
  <c r="D92" i="3"/>
  <c r="C92" i="3"/>
  <c r="F98" i="3" s="1"/>
  <c r="B92" i="3"/>
  <c r="E91" i="3"/>
  <c r="D91" i="3"/>
  <c r="C91" i="3"/>
  <c r="F97" i="3" s="1"/>
  <c r="B91" i="3"/>
  <c r="E90" i="3"/>
  <c r="D90" i="3"/>
  <c r="C90" i="3"/>
  <c r="F96" i="3" s="1"/>
  <c r="B90" i="3"/>
  <c r="E89" i="3"/>
  <c r="D89" i="3"/>
  <c r="C89" i="3"/>
  <c r="F95" i="3" s="1"/>
  <c r="B89" i="3"/>
  <c r="E88" i="3"/>
  <c r="D88" i="3"/>
  <c r="C88" i="3"/>
  <c r="F94" i="3" s="1"/>
  <c r="B88" i="3"/>
  <c r="E87" i="3"/>
  <c r="D87" i="3"/>
  <c r="C87" i="3"/>
  <c r="F93" i="3" s="1"/>
  <c r="B87" i="3"/>
  <c r="E86" i="3"/>
  <c r="D86" i="3"/>
  <c r="C86" i="3"/>
  <c r="F92" i="3" s="1"/>
  <c r="B86" i="3"/>
  <c r="E85" i="3"/>
  <c r="D85" i="3"/>
  <c r="C85" i="3"/>
  <c r="F91" i="3" s="1"/>
  <c r="B85" i="3"/>
  <c r="E84" i="3"/>
  <c r="D84" i="3"/>
  <c r="C84" i="3"/>
  <c r="F90" i="3" s="1"/>
  <c r="B84" i="3"/>
  <c r="E83" i="3"/>
  <c r="D83" i="3"/>
  <c r="C83" i="3"/>
  <c r="F89" i="3" s="1"/>
  <c r="B83" i="3"/>
  <c r="E82" i="3"/>
  <c r="D82" i="3"/>
  <c r="C82" i="3"/>
  <c r="F88" i="3" s="1"/>
  <c r="B82" i="3"/>
  <c r="E81" i="3"/>
  <c r="D81" i="3"/>
  <c r="C81" i="3"/>
  <c r="F87" i="3" s="1"/>
  <c r="B81" i="3"/>
  <c r="E80" i="3"/>
  <c r="D80" i="3"/>
  <c r="C80" i="3"/>
  <c r="F86" i="3" s="1"/>
  <c r="B80" i="3"/>
  <c r="E79" i="3"/>
  <c r="D79" i="3"/>
  <c r="C79" i="3"/>
  <c r="F85" i="3" s="1"/>
  <c r="B79" i="3"/>
  <c r="E78" i="3"/>
  <c r="D78" i="3"/>
  <c r="C78" i="3"/>
  <c r="F84" i="3" s="1"/>
  <c r="B78" i="3"/>
  <c r="E77" i="3"/>
  <c r="D77" i="3"/>
  <c r="C77" i="3"/>
  <c r="F83" i="3" s="1"/>
  <c r="B77" i="3"/>
  <c r="E76" i="3"/>
  <c r="D76" i="3"/>
  <c r="C76" i="3"/>
  <c r="F82" i="3" s="1"/>
  <c r="B76" i="3"/>
  <c r="E75" i="3"/>
  <c r="D75" i="3"/>
  <c r="C75" i="3"/>
  <c r="F81" i="3" s="1"/>
  <c r="B75" i="3"/>
  <c r="E74" i="3"/>
  <c r="D74" i="3"/>
  <c r="C74" i="3"/>
  <c r="F80" i="3" s="1"/>
  <c r="B74" i="3"/>
  <c r="E73" i="3"/>
  <c r="D73" i="3"/>
  <c r="C73" i="3"/>
  <c r="F79" i="3" s="1"/>
  <c r="B73" i="3"/>
  <c r="E72" i="3"/>
  <c r="D72" i="3"/>
  <c r="C72" i="3"/>
  <c r="F78" i="3" s="1"/>
  <c r="B72" i="3"/>
  <c r="E71" i="3"/>
  <c r="D71" i="3"/>
  <c r="C71" i="3"/>
  <c r="F77" i="3" s="1"/>
  <c r="B71" i="3"/>
  <c r="E70" i="3"/>
  <c r="D70" i="3"/>
  <c r="C70" i="3"/>
  <c r="F76" i="3" s="1"/>
  <c r="B70" i="3"/>
  <c r="E69" i="3"/>
  <c r="D69" i="3"/>
  <c r="C69" i="3"/>
  <c r="F75" i="3" s="1"/>
  <c r="B69" i="3"/>
  <c r="E68" i="3"/>
  <c r="D68" i="3"/>
  <c r="C68" i="3"/>
  <c r="F74" i="3" s="1"/>
  <c r="B68" i="3"/>
  <c r="E67" i="3"/>
  <c r="D67" i="3"/>
  <c r="C67" i="3"/>
  <c r="F73" i="3" s="1"/>
  <c r="B67" i="3"/>
  <c r="E66" i="3"/>
  <c r="D66" i="3"/>
  <c r="C66" i="3"/>
  <c r="F72" i="3" s="1"/>
  <c r="B66" i="3"/>
  <c r="E65" i="3"/>
  <c r="D65" i="3"/>
  <c r="C65" i="3"/>
  <c r="F71" i="3" s="1"/>
  <c r="B65" i="3"/>
  <c r="E64" i="3"/>
  <c r="D64" i="3"/>
  <c r="C64" i="3"/>
  <c r="F70" i="3" s="1"/>
  <c r="B64" i="3"/>
  <c r="E63" i="3"/>
  <c r="D63" i="3"/>
  <c r="C63" i="3"/>
  <c r="F69" i="3" s="1"/>
  <c r="B63" i="3"/>
  <c r="E62" i="3"/>
  <c r="D62" i="3"/>
  <c r="C62" i="3"/>
  <c r="F68" i="3" s="1"/>
  <c r="B62" i="3"/>
  <c r="E61" i="3"/>
  <c r="D61" i="3"/>
  <c r="C61" i="3"/>
  <c r="F67" i="3" s="1"/>
  <c r="B61" i="3"/>
  <c r="E60" i="3"/>
  <c r="D60" i="3"/>
  <c r="C60" i="3"/>
  <c r="F66" i="3" s="1"/>
  <c r="B60" i="3"/>
  <c r="E59" i="3"/>
  <c r="D59" i="3"/>
  <c r="C59" i="3"/>
  <c r="F65" i="3" s="1"/>
  <c r="B59" i="3"/>
  <c r="E58" i="3"/>
  <c r="D58" i="3"/>
  <c r="C58" i="3"/>
  <c r="F64" i="3" s="1"/>
  <c r="B58" i="3"/>
  <c r="E57" i="3"/>
  <c r="D57" i="3"/>
  <c r="C57" i="3"/>
  <c r="F63" i="3" s="1"/>
  <c r="B57" i="3"/>
  <c r="E56" i="3"/>
  <c r="D56" i="3"/>
  <c r="C56" i="3"/>
  <c r="F62" i="3" s="1"/>
  <c r="B56" i="3"/>
  <c r="E55" i="3"/>
  <c r="D55" i="3"/>
  <c r="C55" i="3"/>
  <c r="F61" i="3" s="1"/>
  <c r="B55" i="3"/>
  <c r="E54" i="3"/>
  <c r="D54" i="3"/>
  <c r="C54" i="3"/>
  <c r="F60" i="3" s="1"/>
  <c r="B54" i="3"/>
  <c r="E53" i="3"/>
  <c r="D53" i="3"/>
  <c r="C53" i="3"/>
  <c r="F59" i="3" s="1"/>
  <c r="B53" i="3"/>
  <c r="E52" i="3"/>
  <c r="D52" i="3"/>
  <c r="C52" i="3"/>
  <c r="F58" i="3" s="1"/>
  <c r="B52" i="3"/>
  <c r="E51" i="3"/>
  <c r="D51" i="3"/>
  <c r="C51" i="3"/>
  <c r="F57" i="3" s="1"/>
  <c r="B51" i="3"/>
  <c r="E50" i="3"/>
  <c r="D50" i="3"/>
  <c r="C50" i="3"/>
  <c r="F56" i="3" s="1"/>
  <c r="B50" i="3"/>
  <c r="E49" i="3"/>
  <c r="D49" i="3"/>
  <c r="C49" i="3"/>
  <c r="F55" i="3" s="1"/>
  <c r="B49" i="3"/>
  <c r="E48" i="3"/>
  <c r="D48" i="3"/>
  <c r="C48" i="3"/>
  <c r="F54" i="3" s="1"/>
  <c r="B48" i="3"/>
  <c r="E47" i="3"/>
  <c r="D47" i="3"/>
  <c r="C47" i="3"/>
  <c r="F53" i="3" s="1"/>
  <c r="B47" i="3"/>
  <c r="E46" i="3"/>
  <c r="D46" i="3"/>
  <c r="C46" i="3"/>
  <c r="F52" i="3" s="1"/>
  <c r="B46" i="3"/>
  <c r="E45" i="3"/>
  <c r="D45" i="3"/>
  <c r="C45" i="3"/>
  <c r="F51" i="3" s="1"/>
  <c r="B45" i="3"/>
  <c r="E44" i="3"/>
  <c r="D44" i="3"/>
  <c r="C44" i="3"/>
  <c r="F50" i="3" s="1"/>
  <c r="B44" i="3"/>
  <c r="E43" i="3"/>
  <c r="D43" i="3"/>
  <c r="C43" i="3"/>
  <c r="F49" i="3" s="1"/>
  <c r="B43" i="3"/>
  <c r="E42" i="3"/>
  <c r="D42" i="3"/>
  <c r="C42" i="3"/>
  <c r="F48" i="3" s="1"/>
  <c r="B42" i="3"/>
  <c r="E41" i="3"/>
  <c r="D41" i="3"/>
  <c r="C41" i="3"/>
  <c r="F47" i="3" s="1"/>
  <c r="B41" i="3"/>
  <c r="E40" i="3"/>
  <c r="D40" i="3"/>
  <c r="C40" i="3"/>
  <c r="F46" i="3" s="1"/>
  <c r="B40" i="3"/>
  <c r="E39" i="3"/>
  <c r="D39" i="3"/>
  <c r="C39" i="3"/>
  <c r="F45" i="3" s="1"/>
  <c r="B39" i="3"/>
  <c r="E38" i="3"/>
  <c r="D38" i="3"/>
  <c r="C38" i="3"/>
  <c r="F44" i="3" s="1"/>
  <c r="B38" i="3"/>
  <c r="E37" i="3"/>
  <c r="D37" i="3"/>
  <c r="C37" i="3"/>
  <c r="F43" i="3" s="1"/>
  <c r="B37" i="3"/>
  <c r="E36" i="3"/>
  <c r="D36" i="3"/>
  <c r="C36" i="3"/>
  <c r="F42" i="3" s="1"/>
  <c r="B36" i="3"/>
  <c r="E35" i="3"/>
  <c r="D35" i="3"/>
  <c r="C35" i="3"/>
  <c r="F41" i="3" s="1"/>
  <c r="B35" i="3"/>
  <c r="E34" i="3"/>
  <c r="D34" i="3"/>
  <c r="C34" i="3"/>
  <c r="F40" i="3" s="1"/>
  <c r="B34" i="3"/>
  <c r="E33" i="3"/>
  <c r="D33" i="3"/>
  <c r="C33" i="3"/>
  <c r="F39" i="3" s="1"/>
  <c r="B33" i="3"/>
  <c r="E32" i="3"/>
  <c r="D32" i="3"/>
  <c r="C32" i="3"/>
  <c r="F38" i="3" s="1"/>
  <c r="B32" i="3"/>
  <c r="E31" i="3"/>
  <c r="D31" i="3"/>
  <c r="C31" i="3"/>
  <c r="F37" i="3" s="1"/>
  <c r="B31" i="3"/>
  <c r="E30" i="3"/>
  <c r="D30" i="3"/>
  <c r="C30" i="3"/>
  <c r="F36" i="3" s="1"/>
  <c r="B30" i="3"/>
  <c r="E29" i="3"/>
  <c r="D29" i="3"/>
  <c r="C29" i="3"/>
  <c r="F35" i="3" s="1"/>
  <c r="B29" i="3"/>
  <c r="E28" i="3"/>
  <c r="D28" i="3"/>
  <c r="C28" i="3"/>
  <c r="F34" i="3" s="1"/>
  <c r="B28" i="3"/>
  <c r="E27" i="3"/>
  <c r="D27" i="3"/>
  <c r="C27" i="3"/>
  <c r="F33" i="3" s="1"/>
  <c r="B27" i="3"/>
  <c r="E26" i="3"/>
  <c r="D26" i="3"/>
  <c r="C26" i="3"/>
  <c r="F32" i="3" s="1"/>
  <c r="B26" i="3"/>
  <c r="E25" i="3"/>
  <c r="D25" i="3"/>
  <c r="C25" i="3"/>
  <c r="F31" i="3" s="1"/>
  <c r="B25" i="3"/>
  <c r="E24" i="3"/>
  <c r="D24" i="3"/>
  <c r="C24" i="3"/>
  <c r="F30" i="3" s="1"/>
  <c r="B24" i="3"/>
  <c r="E23" i="3"/>
  <c r="D23" i="3"/>
  <c r="C23" i="3"/>
  <c r="F29" i="3" s="1"/>
  <c r="B23" i="3"/>
  <c r="E22" i="3"/>
  <c r="D22" i="3"/>
  <c r="C22" i="3"/>
  <c r="F28" i="3" s="1"/>
  <c r="B22" i="3"/>
  <c r="E21" i="3"/>
  <c r="D21" i="3"/>
  <c r="C21" i="3"/>
  <c r="F27" i="3" s="1"/>
  <c r="B21" i="3"/>
  <c r="E20" i="3"/>
  <c r="D20" i="3"/>
  <c r="C20" i="3"/>
  <c r="F26" i="3" s="1"/>
  <c r="B20" i="3"/>
  <c r="E19" i="3"/>
  <c r="D19" i="3"/>
  <c r="B19" i="3"/>
  <c r="E18" i="3"/>
  <c r="D18" i="3"/>
  <c r="B18" i="3"/>
  <c r="E17" i="3"/>
  <c r="D17" i="3"/>
  <c r="B17" i="3"/>
  <c r="E16" i="3"/>
  <c r="D16" i="3"/>
  <c r="B16" i="3"/>
  <c r="E15" i="3"/>
  <c r="D15" i="3"/>
  <c r="B15" i="3"/>
  <c r="E14" i="3"/>
  <c r="D14" i="3"/>
  <c r="B14" i="3"/>
  <c r="E13" i="3"/>
  <c r="D13" i="3"/>
  <c r="B13" i="3"/>
  <c r="E12" i="3"/>
  <c r="D12" i="3"/>
  <c r="B12" i="3"/>
  <c r="E11" i="3"/>
  <c r="D11" i="3"/>
  <c r="B11" i="3"/>
  <c r="E10" i="3"/>
  <c r="D10" i="3"/>
  <c r="B10" i="3"/>
  <c r="E9" i="3"/>
  <c r="D9" i="3"/>
  <c r="B9" i="3"/>
  <c r="E8" i="3"/>
  <c r="D8" i="3"/>
  <c r="B8" i="3"/>
  <c r="E7" i="3"/>
  <c r="D7" i="3"/>
  <c r="B7" i="3"/>
  <c r="E6" i="3"/>
  <c r="D6" i="3"/>
  <c r="B6" i="3"/>
  <c r="E5" i="3"/>
  <c r="D5" i="3"/>
  <c r="B5" i="3"/>
  <c r="E4" i="3"/>
  <c r="D4" i="3"/>
  <c r="B4" i="3"/>
  <c r="B19" i="4" l="1"/>
  <c r="B21" i="4"/>
  <c r="C20" i="4"/>
  <c r="B35" i="6"/>
  <c r="B5" i="7" s="1"/>
  <c r="B25" i="6"/>
  <c r="B6" i="7" s="1"/>
  <c r="B16" i="6"/>
  <c r="B9" i="6"/>
  <c r="B14" i="5"/>
  <c r="C7" i="5"/>
  <c r="C9" i="4"/>
  <c r="C17" i="4"/>
  <c r="C11" i="4"/>
  <c r="B4" i="4"/>
  <c r="B12" i="4"/>
  <c r="C10" i="4"/>
  <c r="C5" i="4"/>
  <c r="C13" i="4"/>
  <c r="C6" i="4"/>
  <c r="B14" i="4"/>
  <c r="C18" i="4"/>
  <c r="B7" i="4"/>
  <c r="C15" i="4"/>
  <c r="B8" i="4"/>
  <c r="C16" i="4"/>
  <c r="F10" i="3"/>
  <c r="F17" i="3" s="1"/>
  <c r="F6" i="3"/>
  <c r="F13" i="3" s="1"/>
  <c r="F7" i="3"/>
  <c r="F14" i="3" s="1"/>
  <c r="F5" i="3"/>
  <c r="F12" i="3" s="1"/>
  <c r="F19" i="3" s="1"/>
  <c r="F9" i="3"/>
  <c r="F16" i="3" s="1"/>
  <c r="F8" i="3"/>
  <c r="F15" i="3" s="1"/>
  <c r="F4" i="3"/>
  <c r="F11" i="3" s="1"/>
  <c r="F18" i="3" s="1"/>
  <c r="C4" i="4"/>
  <c r="B11" i="4"/>
  <c r="B15" i="4"/>
  <c r="C7" i="4"/>
  <c r="C12" i="4"/>
  <c r="C8" i="4"/>
  <c r="B17" i="4"/>
  <c r="C14" i="4"/>
  <c r="B6" i="4"/>
  <c r="B9" i="4"/>
  <c r="B10" i="4"/>
  <c r="B18" i="4"/>
  <c r="B5" i="4"/>
  <c r="B13" i="4"/>
  <c r="B16" i="4"/>
  <c r="C22" i="4" l="1"/>
  <c r="B10" i="7" s="1"/>
  <c r="B22" i="4"/>
  <c r="B9" i="7" s="1"/>
  <c r="C37" i="6"/>
  <c r="B7" i="7" s="1"/>
  <c r="C18" i="6"/>
  <c r="C16" i="5"/>
  <c r="B11" i="7" s="1"/>
  <c r="C39" i="6" l="1"/>
  <c r="B8" i="7" s="1"/>
  <c r="B23" i="4"/>
</calcChain>
</file>

<file path=xl/sharedStrings.xml><?xml version="1.0" encoding="utf-8"?>
<sst xmlns="http://schemas.openxmlformats.org/spreadsheetml/2006/main" count="156" uniqueCount="92">
  <si>
    <t>ACME Company Accounting System</t>
  </si>
  <si>
    <t>Transactions Journal</t>
  </si>
  <si>
    <t>Date</t>
  </si>
  <si>
    <t>Description</t>
  </si>
  <si>
    <t>Account</t>
  </si>
  <si>
    <t>Debit</t>
  </si>
  <si>
    <t>Credit</t>
  </si>
  <si>
    <t>Due Date</t>
  </si>
  <si>
    <t>Status</t>
  </si>
  <si>
    <t>Paid</t>
  </si>
  <si>
    <t>Cash</t>
  </si>
  <si>
    <t>Capital</t>
  </si>
  <si>
    <t>Rent Expense</t>
  </si>
  <si>
    <t>Service Revenue</t>
  </si>
  <si>
    <t>Utilities Expense</t>
  </si>
  <si>
    <t>Accounts Payable</t>
  </si>
  <si>
    <t>Salaries Expense</t>
  </si>
  <si>
    <t>Supplies Expense</t>
  </si>
  <si>
    <t>Accounts Receivable</t>
  </si>
  <si>
    <t>Chart of Accounts</t>
  </si>
  <si>
    <t>Account Code</t>
  </si>
  <si>
    <t>Account Name</t>
  </si>
  <si>
    <t>Type</t>
  </si>
  <si>
    <t>Asset</t>
  </si>
  <si>
    <t>Bank</t>
  </si>
  <si>
    <t>Inventory</t>
  </si>
  <si>
    <t>Equipment</t>
  </si>
  <si>
    <t>Liability</t>
  </si>
  <si>
    <t>Notes Payable</t>
  </si>
  <si>
    <t>Equity</t>
  </si>
  <si>
    <t>Retained Earnings</t>
  </si>
  <si>
    <t>Sales Revenue</t>
  </si>
  <si>
    <t>Revenue</t>
  </si>
  <si>
    <t>Expense</t>
  </si>
  <si>
    <t>General Ledger</t>
  </si>
  <si>
    <t>Balance</t>
  </si>
  <si>
    <t>Trial Balance</t>
  </si>
  <si>
    <t>Total Debit</t>
  </si>
  <si>
    <t>Total Credit</t>
  </si>
  <si>
    <t>TOTAL</t>
  </si>
  <si>
    <t>Income Statement</t>
  </si>
  <si>
    <t>Net Income</t>
  </si>
  <si>
    <t>Total Assets</t>
  </si>
  <si>
    <t>Total Liabilities</t>
  </si>
  <si>
    <t>Liabilities + Equity</t>
  </si>
  <si>
    <t>Balance Status</t>
  </si>
  <si>
    <t>Accounting Dashboard</t>
  </si>
  <si>
    <t>Total Equity</t>
  </si>
  <si>
    <t>Trial Balance Total Debit</t>
  </si>
  <si>
    <t>Trial Balance Total Credit</t>
  </si>
  <si>
    <t>ACME Company Accounting System Instructions</t>
  </si>
  <si>
    <t>How to use the accounting workbook</t>
  </si>
  <si>
    <t>1. Enter journal entries in the Transactions sheet. Use the Account dropdown and enter amounts in Debit or Credit.</t>
  </si>
  <si>
    <t>2. The Trial Balance sheet totals all debits and credits by account automatically.</t>
  </si>
  <si>
    <t>3. The Income Statement calculates expenses and revenue automatically from account types.</t>
  </si>
  <si>
    <t>4. The Balance Sheet shows asset, liability, and equity balances and verifies the accounting equation.</t>
  </si>
  <si>
    <t>5. The Dashboard shows key totals and balance status at a glance.</t>
  </si>
  <si>
    <t>6. Add new accounts in Chart_of_Accounts starting at row 4. Extend formulas if you add more than 15 accounts.</t>
  </si>
  <si>
    <t>Tips:</t>
  </si>
  <si>
    <t>- Keep dates sorted in Transactions for clear ledger balance behavior.</t>
  </si>
  <si>
    <t>- Use the Account dropdown to avoid spelling errors.</t>
  </si>
  <si>
    <t>- Add more rows in Transactions as needed; the system supports many entries.</t>
  </si>
  <si>
    <t>- Press F9 or reopen the workbook to force Excel to recalculate formulas if needed.</t>
  </si>
  <si>
    <t>Normal Balance</t>
  </si>
  <si>
    <t>Balance Check</t>
  </si>
  <si>
    <t>REVENUE</t>
  </si>
  <si>
    <t>Total Revenue</t>
  </si>
  <si>
    <t>EXPENSES</t>
  </si>
  <si>
    <t>Total Expenses</t>
  </si>
  <si>
    <t>DR</t>
  </si>
  <si>
    <t>CR</t>
  </si>
  <si>
    <t>GH</t>
  </si>
  <si>
    <t>ASSETS</t>
  </si>
  <si>
    <t>Current Assets</t>
  </si>
  <si>
    <t>EQUITY AND LIABILITIES</t>
  </si>
  <si>
    <t>Non-Current Liabilities</t>
  </si>
  <si>
    <t>Land</t>
  </si>
  <si>
    <t>Buildings</t>
  </si>
  <si>
    <t>Machinery</t>
  </si>
  <si>
    <t>Balance Sheet As at 31st December 2025</t>
  </si>
  <si>
    <t>Non-current Assets</t>
  </si>
  <si>
    <t>Total Non-Current Assets</t>
  </si>
  <si>
    <t>Total Current Assets</t>
  </si>
  <si>
    <t>TOTAL ASSETS</t>
  </si>
  <si>
    <t xml:space="preserve">Capital </t>
  </si>
  <si>
    <t xml:space="preserve">	Notes Payable</t>
  </si>
  <si>
    <t xml:space="preserve">	Total Non-Current Liabilities</t>
  </si>
  <si>
    <t xml:space="preserve">	Accounts Payable</t>
  </si>
  <si>
    <t>Total Current Liabilities</t>
  </si>
  <si>
    <t>TOTAL LIABILITIES</t>
  </si>
  <si>
    <t xml:space="preserve">	TOTAL EQUITY AND LIABILITIES</t>
  </si>
  <si>
    <r>
      <t xml:space="preserve">	</t>
    </r>
    <r>
      <rPr>
        <b/>
        <sz val="11"/>
        <color theme="1"/>
        <rFont val="Calibri Light"/>
        <family val="2"/>
        <scheme val="major"/>
      </rPr>
      <t>Current Liabilities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</si>
</sst>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F800]dddd\,\ mmmm\ dd\,\ yyyy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4"/>
      <color rgb="FFFFFFFF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1"/>
      <name val="Calibri Light"/>
      <family val="2"/>
      <scheme val="maj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4F81BD"/>
      </patternFill>
    </fill>
    <fill>
      <patternFill patternType="solid">
        <fgColor rgb="FF9CC3E4"/>
      </patternFill>
    </fill>
    <fill>
      <patternFill patternType="solid">
        <fgColor rgb="FFE7F1FF"/>
      </patternFill>
    </fill>
    <fill>
      <patternFill patternType="solid">
        <fgColor rgb="FFBDD7EE"/>
        <bgColor rgb="FFBDD7EE"/>
      </patternFill>
    </fill>
    <fill>
      <patternFill patternType="solid">
        <fgColor theme="8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/>
    <xf numFmtId="44" fontId="1" fillId="0" borderId="0"/>
  </cellStyleXfs>
  <cellXfs count="56">
    <xf numFmtId="0" fontId="0" fillId="0" borderId="0" xfId="0"/>
    <xf numFmtId="44" fontId="0" fillId="0" borderId="0" xfId="2" applyFont="1"/>
    <xf numFmtId="43" fontId="0" fillId="0" borderId="0" xfId="1" applyFont="1"/>
    <xf numFmtId="0" fontId="2" fillId="2" borderId="1" xfId="0" applyFont="1" applyFill="1" applyBorder="1" applyAlignment="1">
      <alignment horizontal="center" vertical="center"/>
    </xf>
    <xf numFmtId="4" fontId="0" fillId="0" borderId="0" xfId="0" applyNumberFormat="1"/>
    <xf numFmtId="0" fontId="2" fillId="0" borderId="0" xfId="0" applyFont="1"/>
    <xf numFmtId="0" fontId="2" fillId="2" borderId="2" xfId="0" applyFont="1" applyFill="1" applyBorder="1" applyAlignment="1">
      <alignment horizontal="center" vertical="center"/>
    </xf>
    <xf numFmtId="4" fontId="0" fillId="5" borderId="1" xfId="0" applyNumberFormat="1" applyFill="1" applyBorder="1"/>
    <xf numFmtId="0" fontId="0" fillId="5" borderId="1" xfId="0" applyFill="1" applyBorder="1"/>
    <xf numFmtId="4" fontId="0" fillId="0" borderId="1" xfId="0" applyNumberFormat="1" applyBorder="1"/>
    <xf numFmtId="0" fontId="0" fillId="0" borderId="1" xfId="0" applyBorder="1"/>
    <xf numFmtId="0" fontId="2" fillId="5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1" fontId="0" fillId="5" borderId="1" xfId="0" applyNumberFormat="1" applyFill="1" applyBorder="1"/>
    <xf numFmtId="1" fontId="0" fillId="0" borderId="1" xfId="0" applyNumberFormat="1" applyBorder="1"/>
    <xf numFmtId="0" fontId="2" fillId="6" borderId="2" xfId="0" applyFont="1" applyFill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0" fillId="0" borderId="4" xfId="0" applyBorder="1"/>
    <xf numFmtId="0" fontId="0" fillId="0" borderId="3" xfId="0" applyBorder="1"/>
    <xf numFmtId="0" fontId="0" fillId="7" borderId="0" xfId="0" applyFill="1"/>
    <xf numFmtId="164" fontId="2" fillId="6" borderId="2" xfId="0" applyNumberFormat="1" applyFont="1" applyFill="1" applyBorder="1" applyAlignment="1">
      <alignment horizontal="center"/>
    </xf>
    <xf numFmtId="164" fontId="0" fillId="0" borderId="1" xfId="0" applyNumberFormat="1" applyBorder="1"/>
    <xf numFmtId="164" fontId="0" fillId="0" borderId="0" xfId="0" applyNumberFormat="1"/>
    <xf numFmtId="0" fontId="4" fillId="6" borderId="2" xfId="0" applyFont="1" applyFill="1" applyBorder="1" applyAlignment="1">
      <alignment horizontal="center"/>
    </xf>
    <xf numFmtId="164" fontId="0" fillId="5" borderId="1" xfId="0" applyNumberFormat="1" applyFill="1" applyBorder="1"/>
    <xf numFmtId="0" fontId="2" fillId="2" borderId="0" xfId="0" applyFont="1" applyFill="1" applyAlignment="1">
      <alignment horizontal="center" vertical="center"/>
    </xf>
    <xf numFmtId="14" fontId="0" fillId="0" borderId="0" xfId="0" applyNumberFormat="1"/>
    <xf numFmtId="0" fontId="5" fillId="0" borderId="0" xfId="0" applyFont="1"/>
    <xf numFmtId="0" fontId="5" fillId="0" borderId="0" xfId="0" applyFont="1" applyAlignment="1">
      <alignment horizontal="center"/>
    </xf>
    <xf numFmtId="0" fontId="3" fillId="3" borderId="3" xfId="0" applyFont="1" applyFill="1" applyBorder="1" applyAlignment="1">
      <alignment horizontal="center" vertical="center"/>
    </xf>
    <xf numFmtId="0" fontId="0" fillId="0" borderId="4" xfId="0" applyBorder="1"/>
    <xf numFmtId="0" fontId="0" fillId="0" borderId="3" xfId="0" applyBorder="1"/>
    <xf numFmtId="0" fontId="3" fillId="4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0" borderId="0" xfId="0"/>
    <xf numFmtId="44" fontId="0" fillId="0" borderId="0" xfId="2" applyFont="1"/>
    <xf numFmtId="0" fontId="3" fillId="4" borderId="5" xfId="0" applyFont="1" applyFill="1" applyBorder="1" applyAlignment="1">
      <alignment horizontal="center" vertical="center"/>
    </xf>
    <xf numFmtId="0" fontId="0" fillId="0" borderId="5" xfId="0" applyBorder="1"/>
    <xf numFmtId="0" fontId="3" fillId="3" borderId="4" xfId="0" applyFont="1" applyFill="1" applyBorder="1" applyAlignment="1">
      <alignment horizontal="center" vertical="center"/>
    </xf>
    <xf numFmtId="0" fontId="5" fillId="5" borderId="1" xfId="0" applyFont="1" applyFill="1" applyBorder="1"/>
    <xf numFmtId="0" fontId="5" fillId="0" borderId="1" xfId="0" applyFont="1" applyBorder="1"/>
    <xf numFmtId="0" fontId="2" fillId="2" borderId="4" xfId="0" applyFont="1" applyFill="1" applyBorder="1" applyAlignment="1">
      <alignment horizontal="center" vertical="center"/>
    </xf>
    <xf numFmtId="43" fontId="1" fillId="0" borderId="0" xfId="1"/>
    <xf numFmtId="43" fontId="5" fillId="5" borderId="1" xfId="0" applyNumberFormat="1" applyFont="1" applyFill="1" applyBorder="1"/>
    <xf numFmtId="0" fontId="6" fillId="5" borderId="1" xfId="0" applyFont="1" applyFill="1" applyBorder="1"/>
    <xf numFmtId="0" fontId="7" fillId="5" borderId="1" xfId="0" applyFont="1" applyFill="1" applyBorder="1"/>
    <xf numFmtId="4" fontId="7" fillId="5" borderId="1" xfId="0" applyNumberFormat="1" applyFont="1" applyFill="1" applyBorder="1"/>
    <xf numFmtId="0" fontId="6" fillId="0" borderId="1" xfId="0" applyFont="1" applyBorder="1"/>
    <xf numFmtId="0" fontId="7" fillId="0" borderId="1" xfId="0" applyFont="1" applyBorder="1"/>
    <xf numFmtId="4" fontId="7" fillId="0" borderId="1" xfId="0" applyNumberFormat="1" applyFont="1" applyBorder="1"/>
    <xf numFmtId="0" fontId="8" fillId="0" borderId="0" xfId="0" applyFont="1"/>
    <xf numFmtId="43" fontId="6" fillId="5" borderId="1" xfId="0" applyNumberFormat="1" applyFont="1" applyFill="1" applyBorder="1"/>
    <xf numFmtId="4" fontId="6" fillId="5" borderId="1" xfId="0" applyNumberFormat="1" applyFont="1" applyFill="1" applyBorder="1"/>
    <xf numFmtId="4" fontId="5" fillId="0" borderId="0" xfId="0" applyNumberFormat="1" applyFont="1"/>
    <xf numFmtId="0" fontId="9" fillId="0" borderId="1" xfId="0" applyFont="1" applyBorder="1"/>
  </cellXfs>
  <cellStyles count="3">
    <cellStyle name="Comma" xfId="1" builtinId="3"/>
    <cellStyle name="Currency" xfId="2" builtinId="4"/>
    <cellStyle name="Normal" xfId="0" builtinId="0"/>
  </cellStyles>
  <dxfs count="4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numFmt numFmtId="164" formatCode="[$-F800]dddd\,\ mmmm\ dd\,\ 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nsactionsTable" displayName="TransactionsTable" ref="A3:H200">
  <autoFilter ref="A3:H200" xr:uid="{00000000-0009-0000-0100-000001000000}"/>
  <tableColumns count="8">
    <tableColumn id="1" xr3:uid="{00000000-0010-0000-0000-000001000000}" name="Date" dataDxfId="3"/>
    <tableColumn id="2" xr3:uid="{00000000-0010-0000-0000-000002000000}" name="Description"/>
    <tableColumn id="3" xr3:uid="{00000000-0010-0000-0000-000003000000}" name="Account"/>
    <tableColumn id="4" xr3:uid="{00000000-0010-0000-0000-000004000000}" name="Debit"/>
    <tableColumn id="5" xr3:uid="{00000000-0010-0000-0000-000005000000}" name="Credit"/>
    <tableColumn id="6" xr3:uid="{00000000-0010-0000-0000-000006000000}" name="Due Date"/>
    <tableColumn id="7" xr3:uid="{00000000-0010-0000-0000-000007000000}" name="Status"/>
    <tableColumn id="8" xr3:uid="{00000000-0010-0000-0000-000008000000}" name="Pai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 tint="0.59999389629810485"/>
  </sheetPr>
  <dimension ref="A1:C16"/>
  <sheetViews>
    <sheetView workbookViewId="0">
      <selection activeCell="A12" sqref="A12"/>
    </sheetView>
  </sheetViews>
  <sheetFormatPr defaultRowHeight="14.5" x14ac:dyDescent="0.35"/>
  <cols>
    <col min="1" max="1" width="80" customWidth="1"/>
  </cols>
  <sheetData>
    <row r="1" spans="1:3" ht="18.5" customHeight="1" x14ac:dyDescent="0.35">
      <c r="A1" s="39" t="s">
        <v>50</v>
      </c>
      <c r="B1" s="30"/>
      <c r="C1" s="30"/>
    </row>
    <row r="3" spans="1:3" ht="18" customHeight="1" x14ac:dyDescent="0.35">
      <c r="A3" s="12" t="s">
        <v>51</v>
      </c>
    </row>
    <row r="4" spans="1:3" x14ac:dyDescent="0.35">
      <c r="A4" s="12"/>
    </row>
    <row r="5" spans="1:3" ht="29" customHeight="1" x14ac:dyDescent="0.35">
      <c r="A5" s="12" t="s">
        <v>52</v>
      </c>
    </row>
    <row r="6" spans="1:3" x14ac:dyDescent="0.35">
      <c r="A6" s="12" t="s">
        <v>53</v>
      </c>
    </row>
    <row r="7" spans="1:3" x14ac:dyDescent="0.35">
      <c r="A7" s="12" t="s">
        <v>54</v>
      </c>
    </row>
    <row r="8" spans="1:3" ht="29" customHeight="1" x14ac:dyDescent="0.35">
      <c r="A8" s="12" t="s">
        <v>55</v>
      </c>
    </row>
    <row r="9" spans="1:3" x14ac:dyDescent="0.35">
      <c r="A9" s="12" t="s">
        <v>56</v>
      </c>
    </row>
    <row r="10" spans="1:3" ht="29" customHeight="1" x14ac:dyDescent="0.35">
      <c r="A10" s="12" t="s">
        <v>57</v>
      </c>
    </row>
    <row r="11" spans="1:3" x14ac:dyDescent="0.35">
      <c r="A11" s="12"/>
    </row>
    <row r="12" spans="1:3" x14ac:dyDescent="0.35">
      <c r="A12" s="12" t="s">
        <v>58</v>
      </c>
    </row>
    <row r="13" spans="1:3" x14ac:dyDescent="0.35">
      <c r="A13" s="12" t="s">
        <v>59</v>
      </c>
    </row>
    <row r="14" spans="1:3" x14ac:dyDescent="0.35">
      <c r="A14" s="12" t="s">
        <v>60</v>
      </c>
    </row>
    <row r="15" spans="1:3" x14ac:dyDescent="0.35">
      <c r="A15" s="12" t="s">
        <v>61</v>
      </c>
    </row>
    <row r="16" spans="1:3" x14ac:dyDescent="0.35">
      <c r="A16" t="s">
        <v>62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D21"/>
  <sheetViews>
    <sheetView workbookViewId="0">
      <pane ySplit="3" topLeftCell="A4" activePane="bottomLeft" state="frozen"/>
      <selection pane="bottomLeft" activeCell="B20" sqref="B20"/>
    </sheetView>
  </sheetViews>
  <sheetFormatPr defaultRowHeight="14.5" x14ac:dyDescent="0.35"/>
  <cols>
    <col min="1" max="1" width="12" bestFit="1" customWidth="1"/>
    <col min="2" max="2" width="24" bestFit="1" customWidth="1"/>
    <col min="3" max="3" width="16" customWidth="1"/>
    <col min="4" max="4" width="14" bestFit="1" customWidth="1"/>
  </cols>
  <sheetData>
    <row r="1" spans="1:4" ht="24" customHeight="1" x14ac:dyDescent="0.35">
      <c r="A1" s="33" t="s">
        <v>0</v>
      </c>
      <c r="B1" s="33"/>
      <c r="C1" s="33"/>
      <c r="D1" s="33"/>
    </row>
    <row r="2" spans="1:4" ht="20" customHeight="1" x14ac:dyDescent="0.35">
      <c r="A2" s="34" t="s">
        <v>19</v>
      </c>
      <c r="B2" s="34"/>
      <c r="C2" s="34"/>
      <c r="D2" s="34"/>
    </row>
    <row r="3" spans="1:4" x14ac:dyDescent="0.35">
      <c r="A3" s="6" t="s">
        <v>20</v>
      </c>
      <c r="B3" s="6" t="s">
        <v>21</v>
      </c>
      <c r="C3" s="6" t="s">
        <v>22</v>
      </c>
      <c r="D3" s="25" t="s">
        <v>63</v>
      </c>
    </row>
    <row r="4" spans="1:4" x14ac:dyDescent="0.35">
      <c r="A4" s="13">
        <v>1001</v>
      </c>
      <c r="B4" s="8" t="s">
        <v>10</v>
      </c>
      <c r="C4" s="8" t="s">
        <v>23</v>
      </c>
      <c r="D4" s="8" t="s">
        <v>5</v>
      </c>
    </row>
    <row r="5" spans="1:4" x14ac:dyDescent="0.35">
      <c r="A5" s="14">
        <v>1002</v>
      </c>
      <c r="B5" s="10" t="s">
        <v>24</v>
      </c>
      <c r="C5" s="10" t="s">
        <v>23</v>
      </c>
      <c r="D5" s="8" t="s">
        <v>5</v>
      </c>
    </row>
    <row r="6" spans="1:4" x14ac:dyDescent="0.35">
      <c r="A6" s="13">
        <v>1003</v>
      </c>
      <c r="B6" s="8" t="s">
        <v>18</v>
      </c>
      <c r="C6" s="8" t="s">
        <v>23</v>
      </c>
      <c r="D6" s="8" t="s">
        <v>5</v>
      </c>
    </row>
    <row r="7" spans="1:4" x14ac:dyDescent="0.35">
      <c r="A7" s="14">
        <v>1004</v>
      </c>
      <c r="B7" s="10" t="s">
        <v>25</v>
      </c>
      <c r="C7" s="10" t="s">
        <v>23</v>
      </c>
      <c r="D7" s="8" t="s">
        <v>5</v>
      </c>
    </row>
    <row r="8" spans="1:4" x14ac:dyDescent="0.35">
      <c r="A8" s="13">
        <v>1005</v>
      </c>
      <c r="B8" s="8" t="s">
        <v>26</v>
      </c>
      <c r="C8" s="8" t="s">
        <v>23</v>
      </c>
      <c r="D8" s="8" t="s">
        <v>5</v>
      </c>
    </row>
    <row r="9" spans="1:4" x14ac:dyDescent="0.35">
      <c r="A9" s="13">
        <v>1006</v>
      </c>
      <c r="B9" s="8" t="s">
        <v>76</v>
      </c>
      <c r="C9" s="8" t="s">
        <v>23</v>
      </c>
      <c r="D9" s="8" t="s">
        <v>5</v>
      </c>
    </row>
    <row r="10" spans="1:4" x14ac:dyDescent="0.35">
      <c r="A10" s="13">
        <v>1007</v>
      </c>
      <c r="B10" s="8" t="s">
        <v>77</v>
      </c>
      <c r="C10" s="8" t="s">
        <v>23</v>
      </c>
      <c r="D10" s="8" t="s">
        <v>5</v>
      </c>
    </row>
    <row r="11" spans="1:4" x14ac:dyDescent="0.35">
      <c r="A11" s="13">
        <v>1008</v>
      </c>
      <c r="B11" s="8" t="s">
        <v>78</v>
      </c>
      <c r="C11" s="8" t="s">
        <v>23</v>
      </c>
      <c r="D11" s="8" t="s">
        <v>5</v>
      </c>
    </row>
    <row r="12" spans="1:4" x14ac:dyDescent="0.35">
      <c r="A12" s="14">
        <v>2001</v>
      </c>
      <c r="B12" s="10" t="s">
        <v>15</v>
      </c>
      <c r="C12" s="10" t="s">
        <v>27</v>
      </c>
      <c r="D12" s="8" t="s">
        <v>6</v>
      </c>
    </row>
    <row r="13" spans="1:4" x14ac:dyDescent="0.35">
      <c r="A13" s="13">
        <v>2002</v>
      </c>
      <c r="B13" s="8" t="s">
        <v>28</v>
      </c>
      <c r="C13" s="8" t="s">
        <v>27</v>
      </c>
      <c r="D13" s="8" t="s">
        <v>6</v>
      </c>
    </row>
    <row r="14" spans="1:4" x14ac:dyDescent="0.35">
      <c r="A14" s="14">
        <v>3001</v>
      </c>
      <c r="B14" s="55" t="s">
        <v>11</v>
      </c>
      <c r="C14" s="10" t="s">
        <v>29</v>
      </c>
      <c r="D14" s="8" t="s">
        <v>6</v>
      </c>
    </row>
    <row r="15" spans="1:4" x14ac:dyDescent="0.35">
      <c r="A15" s="13">
        <v>3002</v>
      </c>
      <c r="B15" s="8" t="s">
        <v>30</v>
      </c>
      <c r="C15" s="8" t="s">
        <v>29</v>
      </c>
      <c r="D15" s="8" t="s">
        <v>6</v>
      </c>
    </row>
    <row r="16" spans="1:4" x14ac:dyDescent="0.35">
      <c r="A16" s="14">
        <v>4001</v>
      </c>
      <c r="B16" s="10" t="s">
        <v>31</v>
      </c>
      <c r="C16" s="10" t="s">
        <v>32</v>
      </c>
      <c r="D16" s="8" t="s">
        <v>6</v>
      </c>
    </row>
    <row r="17" spans="1:4" x14ac:dyDescent="0.35">
      <c r="A17" s="13">
        <v>4002</v>
      </c>
      <c r="B17" s="8" t="s">
        <v>13</v>
      </c>
      <c r="C17" s="8" t="s">
        <v>32</v>
      </c>
      <c r="D17" s="8" t="s">
        <v>6</v>
      </c>
    </row>
    <row r="18" spans="1:4" x14ac:dyDescent="0.35">
      <c r="A18" s="14">
        <v>5001</v>
      </c>
      <c r="B18" s="10" t="s">
        <v>12</v>
      </c>
      <c r="C18" s="10" t="s">
        <v>33</v>
      </c>
      <c r="D18" s="8" t="s">
        <v>5</v>
      </c>
    </row>
    <row r="19" spans="1:4" x14ac:dyDescent="0.35">
      <c r="A19" s="13">
        <v>5002</v>
      </c>
      <c r="B19" s="8" t="s">
        <v>14</v>
      </c>
      <c r="C19" s="8" t="s">
        <v>33</v>
      </c>
      <c r="D19" s="8" t="s">
        <v>5</v>
      </c>
    </row>
    <row r="20" spans="1:4" x14ac:dyDescent="0.35">
      <c r="A20" s="14">
        <v>5003</v>
      </c>
      <c r="B20" s="10" t="s">
        <v>16</v>
      </c>
      <c r="C20" s="10" t="s">
        <v>33</v>
      </c>
      <c r="D20" s="8" t="s">
        <v>5</v>
      </c>
    </row>
    <row r="21" spans="1:4" x14ac:dyDescent="0.35">
      <c r="A21" s="13">
        <v>5004</v>
      </c>
      <c r="B21" s="8" t="s">
        <v>17</v>
      </c>
      <c r="C21" s="8" t="s">
        <v>33</v>
      </c>
      <c r="D21" s="8" t="s">
        <v>5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/>
  </sheetPr>
  <dimension ref="A1:H30"/>
  <sheetViews>
    <sheetView tabSelected="1" workbookViewId="0">
      <pane ySplit="3" topLeftCell="A4" activePane="bottomLeft" state="frozen"/>
      <selection pane="bottomLeft" activeCell="C4" sqref="C4"/>
    </sheetView>
  </sheetViews>
  <sheetFormatPr defaultRowHeight="14.5" x14ac:dyDescent="0.35"/>
  <cols>
    <col min="1" max="1" width="25.7265625" style="22" bestFit="1" customWidth="1"/>
    <col min="2" max="2" width="28" bestFit="1" customWidth="1"/>
    <col min="3" max="3" width="22" bestFit="1" customWidth="1"/>
    <col min="4" max="4" width="14" style="1" bestFit="1" customWidth="1"/>
    <col min="5" max="5" width="14" customWidth="1"/>
    <col min="6" max="6" width="16" customWidth="1"/>
    <col min="7" max="7" width="14" customWidth="1"/>
  </cols>
  <sheetData>
    <row r="1" spans="1:8" ht="24" customHeight="1" x14ac:dyDescent="0.35">
      <c r="A1" s="33" t="s">
        <v>0</v>
      </c>
      <c r="B1" s="35"/>
      <c r="C1" s="35"/>
      <c r="D1" s="36"/>
      <c r="E1" s="35"/>
      <c r="F1" s="35"/>
      <c r="G1" s="35"/>
      <c r="H1" s="35"/>
    </row>
    <row r="2" spans="1:8" ht="20" customHeight="1" x14ac:dyDescent="0.35">
      <c r="A2" s="34" t="s">
        <v>1</v>
      </c>
      <c r="B2" s="35"/>
      <c r="C2" s="35"/>
      <c r="D2" s="36"/>
      <c r="E2" s="35"/>
      <c r="F2" s="35"/>
      <c r="G2" s="35"/>
      <c r="H2" s="35"/>
    </row>
    <row r="3" spans="1:8" x14ac:dyDescent="0.35">
      <c r="A3" s="20" t="s">
        <v>2</v>
      </c>
      <c r="B3" s="23" t="s">
        <v>3</v>
      </c>
      <c r="C3" s="15" t="s">
        <v>4</v>
      </c>
      <c r="D3" s="15" t="s">
        <v>5</v>
      </c>
      <c r="E3" s="15" t="s">
        <v>6</v>
      </c>
      <c r="F3" s="16" t="s">
        <v>7</v>
      </c>
      <c r="G3" s="16" t="s">
        <v>8</v>
      </c>
      <c r="H3" s="19" t="s">
        <v>9</v>
      </c>
    </row>
    <row r="4" spans="1:8" x14ac:dyDescent="0.35">
      <c r="A4" s="21"/>
      <c r="B4" s="10"/>
      <c r="C4" s="10"/>
      <c r="D4" s="9"/>
      <c r="E4" s="9"/>
      <c r="F4" s="26"/>
      <c r="G4" t="str">
        <f t="shared" ref="G4:G5" ca="1" si="0">IF($H4="Paid","Paid",IF(OR($F4="",NOT(ISNUMBER($F4))),"",IF(TODAY()&gt;$F4,"Overdue","Pending")))</f>
        <v/>
      </c>
    </row>
    <row r="5" spans="1:8" x14ac:dyDescent="0.35">
      <c r="A5" s="21"/>
      <c r="B5" s="10"/>
      <c r="C5" s="10"/>
      <c r="D5" s="9"/>
      <c r="E5" s="9"/>
      <c r="F5" s="26"/>
      <c r="G5" t="str">
        <f t="shared" ca="1" si="0"/>
        <v/>
      </c>
    </row>
    <row r="6" spans="1:8" x14ac:dyDescent="0.35">
      <c r="A6" s="21"/>
      <c r="B6" s="10"/>
      <c r="C6" s="10"/>
      <c r="D6" s="9"/>
      <c r="E6" s="9"/>
      <c r="F6" s="26"/>
    </row>
    <row r="7" spans="1:8" x14ac:dyDescent="0.35">
      <c r="A7" s="21"/>
      <c r="B7" s="10"/>
      <c r="C7" s="10"/>
      <c r="D7" s="9"/>
      <c r="E7" s="9"/>
      <c r="F7" s="26"/>
    </row>
    <row r="8" spans="1:8" x14ac:dyDescent="0.35">
      <c r="A8" s="21"/>
      <c r="B8" s="10"/>
      <c r="C8" s="10"/>
      <c r="D8" s="9"/>
      <c r="E8" s="9"/>
      <c r="F8" s="26"/>
    </row>
    <row r="9" spans="1:8" x14ac:dyDescent="0.35">
      <c r="A9" s="21"/>
      <c r="B9" s="10"/>
      <c r="C9" s="10"/>
      <c r="D9" s="9"/>
      <c r="E9" s="9"/>
      <c r="F9" s="26"/>
    </row>
    <row r="10" spans="1:8" x14ac:dyDescent="0.35">
      <c r="A10" s="21"/>
      <c r="B10" s="10"/>
      <c r="C10" s="10"/>
      <c r="D10" s="9"/>
      <c r="E10" s="9"/>
      <c r="F10" s="26"/>
    </row>
    <row r="11" spans="1:8" x14ac:dyDescent="0.35">
      <c r="A11" s="21"/>
      <c r="B11" s="10"/>
      <c r="C11" s="10"/>
      <c r="D11" s="9"/>
      <c r="E11" s="9"/>
      <c r="F11" s="26"/>
    </row>
    <row r="12" spans="1:8" x14ac:dyDescent="0.35">
      <c r="A12" s="21"/>
      <c r="B12" s="10"/>
      <c r="C12" s="10"/>
      <c r="D12" s="9"/>
      <c r="E12" s="9"/>
      <c r="F12" s="26"/>
    </row>
    <row r="13" spans="1:8" x14ac:dyDescent="0.35">
      <c r="A13" s="21"/>
      <c r="B13" s="10"/>
      <c r="C13" s="10"/>
      <c r="D13" s="9"/>
      <c r="E13" s="9"/>
      <c r="F13" s="26"/>
    </row>
    <row r="14" spans="1:8" x14ac:dyDescent="0.35">
      <c r="A14" s="21"/>
      <c r="B14" s="10"/>
      <c r="C14" s="10"/>
      <c r="D14" s="10"/>
      <c r="E14" s="10"/>
      <c r="F14" s="26"/>
    </row>
    <row r="15" spans="1:8" x14ac:dyDescent="0.35">
      <c r="A15" s="21"/>
      <c r="B15" s="10"/>
      <c r="C15" s="10"/>
      <c r="D15" s="10"/>
      <c r="E15" s="10"/>
      <c r="F15" s="26"/>
    </row>
    <row r="16" spans="1:8" x14ac:dyDescent="0.35">
      <c r="A16" s="21"/>
      <c r="B16" s="10"/>
      <c r="C16" s="10"/>
      <c r="D16" s="10"/>
      <c r="E16" s="10"/>
      <c r="F16" s="26"/>
    </row>
    <row r="17" spans="1:6" x14ac:dyDescent="0.35">
      <c r="A17" s="21"/>
      <c r="B17" s="10"/>
      <c r="C17" s="10"/>
      <c r="D17" s="10"/>
      <c r="E17" s="10"/>
      <c r="F17" s="26"/>
    </row>
    <row r="18" spans="1:6" x14ac:dyDescent="0.35">
      <c r="A18" s="21"/>
      <c r="B18" s="10"/>
      <c r="C18" s="10"/>
      <c r="D18" s="10"/>
      <c r="E18" s="10"/>
      <c r="F18" s="26"/>
    </row>
    <row r="19" spans="1:6" x14ac:dyDescent="0.35">
      <c r="A19" s="21"/>
      <c r="B19" s="10"/>
      <c r="C19" s="10"/>
      <c r="D19" s="10"/>
      <c r="E19" s="10"/>
      <c r="F19" s="26"/>
    </row>
    <row r="20" spans="1:6" x14ac:dyDescent="0.35">
      <c r="A20" s="21"/>
      <c r="B20" s="10"/>
      <c r="C20" s="10"/>
      <c r="D20" s="10"/>
      <c r="E20" s="10"/>
    </row>
    <row r="21" spans="1:6" x14ac:dyDescent="0.35">
      <c r="A21" s="21"/>
      <c r="B21" s="10"/>
      <c r="C21" s="10"/>
      <c r="D21" s="10"/>
      <c r="E21" s="10"/>
    </row>
    <row r="22" spans="1:6" x14ac:dyDescent="0.35">
      <c r="A22" s="21"/>
      <c r="B22" s="10"/>
      <c r="C22" s="10"/>
      <c r="D22" s="10"/>
      <c r="E22" s="10"/>
    </row>
    <row r="23" spans="1:6" x14ac:dyDescent="0.35">
      <c r="A23" s="21"/>
      <c r="B23" s="10"/>
      <c r="C23" s="10"/>
      <c r="D23" s="10"/>
      <c r="E23" s="10"/>
    </row>
    <row r="24" spans="1:6" x14ac:dyDescent="0.35">
      <c r="A24" s="21"/>
      <c r="B24" s="10"/>
      <c r="C24" s="10"/>
      <c r="D24" s="10"/>
      <c r="E24" s="10"/>
    </row>
    <row r="25" spans="1:6" x14ac:dyDescent="0.35">
      <c r="A25" s="21"/>
      <c r="B25" s="10"/>
      <c r="C25" s="10"/>
      <c r="D25" s="10"/>
      <c r="E25" s="10"/>
    </row>
    <row r="26" spans="1:6" x14ac:dyDescent="0.35">
      <c r="A26" s="21"/>
      <c r="B26" s="10"/>
      <c r="C26" s="10"/>
      <c r="D26" s="10"/>
      <c r="E26" s="10"/>
    </row>
    <row r="27" spans="1:6" x14ac:dyDescent="0.35">
      <c r="A27" s="21"/>
      <c r="B27" s="10"/>
      <c r="C27" s="10"/>
      <c r="D27" s="10"/>
      <c r="E27" s="10"/>
    </row>
    <row r="28" spans="1:6" x14ac:dyDescent="0.35">
      <c r="A28" s="21"/>
      <c r="B28" s="10"/>
      <c r="C28" s="10"/>
      <c r="D28" s="10"/>
      <c r="E28" s="10"/>
    </row>
    <row r="29" spans="1:6" x14ac:dyDescent="0.35">
      <c r="A29" s="21"/>
      <c r="B29" s="10"/>
      <c r="C29" s="10"/>
      <c r="D29" s="10"/>
      <c r="E29" s="10"/>
    </row>
    <row r="30" spans="1:6" x14ac:dyDescent="0.35">
      <c r="A30" s="21"/>
      <c r="B30" s="10"/>
      <c r="C30" s="10"/>
      <c r="D30" s="10"/>
      <c r="E30" s="10"/>
    </row>
  </sheetData>
  <mergeCells count="2">
    <mergeCell ref="A2:H2"/>
    <mergeCell ref="A1:H1"/>
  </mergeCells>
  <conditionalFormatting sqref="A4:G30">
    <cfRule type="expression" dxfId="2" priority="1">
      <formula>AND($G4&lt;&gt;"Paid", $F4&lt;TODAY())</formula>
    </cfRule>
  </conditionalFormatting>
  <dataValidations count="5">
    <dataValidation type="date" allowBlank="1" showErrorMessage="1" sqref="F4:F100" xr:uid="{00000000-0002-0000-0100-000000000000}">
      <formula1>DATE(1900,1,1)</formula1>
      <formula2>DATE(9999,12,31)</formula2>
    </dataValidation>
    <dataValidation type="list" allowBlank="1" showDropDown="1" errorTitle="Invalid Status" error="Enter Paid or leave blank." promptTitle="Paid marker" prompt="Enter Paid here if payment is completed." sqref="H5:H100" xr:uid="{00000000-0002-0000-0100-000001000000}">
      <formula1>"Paid"</formula1>
    </dataValidation>
    <dataValidation type="date" allowBlank="1" showInputMessage="1" showErrorMessage="1" sqref="A4:A19" xr:uid="{F6F998AE-59C6-454D-B742-91C72D22C75F}">
      <formula1>DATE(1900,1,1)</formula1>
      <formula2>DATE(9999,12,31)</formula2>
    </dataValidation>
    <dataValidation type="list" allowBlank="1" showInputMessage="1" showErrorMessage="1" errorTitle=" Invalid Account" error=" Please select an account from the list" sqref="C20:C200" xr:uid="{B0EE9549-D1A8-49C1-93A8-343033B087F1}">
      <formula1>" =Chart_of_Accounts!$B$4:$B$18"</formula1>
    </dataValidation>
    <dataValidation type="list" allowBlank="1" showErrorMessage="1" errorTitle="Invalid Status" error="Enter Paid or leave blank." promptTitle="Paid marker" prompt="Enter Paid here if payment is completed." sqref="H4" xr:uid="{BF000BE8-B9EB-4E41-A819-1AE304247E7E}">
      <formula1>"Paid"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 Invalid Account" error=" Please select an account from the list" xr:uid="{7C699A25-50CE-4456-9287-8933177E6AA6}">
          <x14:formula1>
            <xm:f>Chart_of_Accounts!$B$4:$B$21</xm:f>
          </x14:formula1>
          <xm:sqref>C4:C19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A1:F105"/>
  <sheetViews>
    <sheetView workbookViewId="0">
      <pane ySplit="3" topLeftCell="A4" activePane="bottomLeft" state="frozen"/>
      <selection pane="bottomLeft" activeCell="J5" sqref="J5"/>
    </sheetView>
  </sheetViews>
  <sheetFormatPr defaultRowHeight="14.5" x14ac:dyDescent="0.35"/>
  <cols>
    <col min="1" max="1" width="25.7265625" bestFit="1" customWidth="1"/>
    <col min="2" max="2" width="35" bestFit="1" customWidth="1"/>
    <col min="3" max="3" width="25" style="2" bestFit="1" customWidth="1"/>
    <col min="4" max="4" width="15" customWidth="1"/>
    <col min="5" max="5" width="15" bestFit="1" customWidth="1"/>
    <col min="6" max="6" width="18" customWidth="1"/>
  </cols>
  <sheetData>
    <row r="1" spans="1:6" ht="24" customHeight="1" x14ac:dyDescent="0.35">
      <c r="A1" s="29" t="s">
        <v>0</v>
      </c>
      <c r="B1" s="30"/>
      <c r="C1" s="30"/>
      <c r="D1" s="30"/>
      <c r="E1" s="30"/>
      <c r="F1" s="31"/>
    </row>
    <row r="2" spans="1:6" ht="20" customHeight="1" x14ac:dyDescent="0.35">
      <c r="A2" s="32" t="s">
        <v>34</v>
      </c>
      <c r="B2" s="30"/>
      <c r="C2" s="30"/>
      <c r="D2" s="30"/>
      <c r="E2" s="30"/>
      <c r="F2" s="31"/>
    </row>
    <row r="3" spans="1:6" x14ac:dyDescent="0.35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35</v>
      </c>
    </row>
    <row r="4" spans="1:6" x14ac:dyDescent="0.35">
      <c r="A4" s="24" t="str">
        <f>IF(Transactions!A4="","",Transactions!A4)</f>
        <v/>
      </c>
      <c r="B4" s="8">
        <f>Transactions!B4</f>
        <v>0</v>
      </c>
      <c r="C4" s="8">
        <f>Transactions!C4</f>
        <v>0</v>
      </c>
      <c r="D4" s="8">
        <f>Transactions!D4</f>
        <v>0</v>
      </c>
      <c r="E4" s="8">
        <f>Transactions!E4</f>
        <v>0</v>
      </c>
      <c r="F4" s="8" t="str">
        <f>IF(OR($A4="",$C4=""),"",IF(VLOOKUP($C4,Chart_of_Accounts!$B:$D,3,0)="Debit",SUMIF(Transactions!$C:$C,$C4,Transactions!$D:$D)-SUMIF(Transactions!$C:$C,$C4,Transactions!$E:$E),SUMIF(Transactions!$C:$C,$C4,Transactions!$E:$E)-SUMIF(Transactions!$C:$C,$C4,Transactions!$D:$D)))</f>
        <v/>
      </c>
    </row>
    <row r="5" spans="1:6" x14ac:dyDescent="0.35">
      <c r="A5" s="24" t="str">
        <f>IF(Transactions!A5="","",Transactions!A5)</f>
        <v/>
      </c>
      <c r="B5" s="10">
        <f>Transactions!B5</f>
        <v>0</v>
      </c>
      <c r="C5" s="10">
        <f>Transactions!C5</f>
        <v>0</v>
      </c>
      <c r="D5" s="10">
        <f>Transactions!D5</f>
        <v>0</v>
      </c>
      <c r="E5" s="10">
        <f>Transactions!E5</f>
        <v>0</v>
      </c>
      <c r="F5" s="8" t="str">
        <f>IF(OR($A5="",$C5=""),"",IF(VLOOKUP($C5,Chart_of_Accounts!$B:$D,3,0)="Debit",SUMIF(Transactions!$C:$C,$C5,Transactions!$D:$D)-SUMIF(Transactions!$C:$C,$C5,Transactions!$E:$E),SUMIF(Transactions!$C:$C,$C5,Transactions!$E:$E)-SUMIF(Transactions!$C:$C,$C5,Transactions!$D:$D)))</f>
        <v/>
      </c>
    </row>
    <row r="6" spans="1:6" x14ac:dyDescent="0.35">
      <c r="A6" s="24" t="str">
        <f>IF(Transactions!A6="","",Transactions!A6)</f>
        <v/>
      </c>
      <c r="B6" s="8">
        <f>Transactions!B6</f>
        <v>0</v>
      </c>
      <c r="C6" s="8">
        <f>Transactions!C6</f>
        <v>0</v>
      </c>
      <c r="D6" s="8">
        <f>Transactions!D6</f>
        <v>0</v>
      </c>
      <c r="E6" s="8">
        <f>Transactions!E6</f>
        <v>0</v>
      </c>
      <c r="F6" s="8" t="str">
        <f>IF(OR($A6="",$C6=""),"",IF(VLOOKUP($C6,Chart_of_Accounts!$B:$D,3,0)="Debit",SUMIF(Transactions!$C:$C,$C6,Transactions!$D:$D)-SUMIF(Transactions!$C:$C,$C6,Transactions!$E:$E),SUMIF(Transactions!$C:$C,$C6,Transactions!$E:$E)-SUMIF(Transactions!$C:$C,$C6,Transactions!$D:$D)))</f>
        <v/>
      </c>
    </row>
    <row r="7" spans="1:6" x14ac:dyDescent="0.35">
      <c r="A7" s="24" t="str">
        <f>IF(Transactions!A7="","",Transactions!A7)</f>
        <v/>
      </c>
      <c r="B7" s="10">
        <f>Transactions!B7</f>
        <v>0</v>
      </c>
      <c r="C7" s="10">
        <f>Transactions!C7</f>
        <v>0</v>
      </c>
      <c r="D7" s="10">
        <f>Transactions!D7</f>
        <v>0</v>
      </c>
      <c r="E7" s="10">
        <f>Transactions!E7</f>
        <v>0</v>
      </c>
      <c r="F7" s="8" t="str">
        <f>IF(OR($A7="",$C7=""),"",IF(VLOOKUP($C7,Chart_of_Accounts!$B:$D,3,0)="Debit",SUMIF(Transactions!$C:$C,$C7,Transactions!$D:$D)-SUMIF(Transactions!$C:$C,$C7,Transactions!$E:$E),SUMIF(Transactions!$C:$C,$C7,Transactions!$E:$E)-SUMIF(Transactions!$C:$C,$C7,Transactions!$D:$D)))</f>
        <v/>
      </c>
    </row>
    <row r="8" spans="1:6" x14ac:dyDescent="0.35">
      <c r="A8" s="24" t="str">
        <f>IF(Transactions!A8="","",Transactions!A8)</f>
        <v/>
      </c>
      <c r="B8" s="8">
        <f>Transactions!B8</f>
        <v>0</v>
      </c>
      <c r="C8" s="8">
        <f>Transactions!C8</f>
        <v>0</v>
      </c>
      <c r="D8" s="8">
        <f>Transactions!D8</f>
        <v>0</v>
      </c>
      <c r="E8" s="8">
        <f>Transactions!E8</f>
        <v>0</v>
      </c>
      <c r="F8" s="8" t="str">
        <f>IF(OR($A8="",$C8=""),"",IF(VLOOKUP($C8,Chart_of_Accounts!$B:$D,3,0)="Debit",SUMIF(Transactions!$C:$C,$C8,Transactions!$D:$D)-SUMIF(Transactions!$C:$C,$C8,Transactions!$E:$E),SUMIF(Transactions!$C:$C,$C8,Transactions!$E:$E)-SUMIF(Transactions!$C:$C,$C8,Transactions!$D:$D)))</f>
        <v/>
      </c>
    </row>
    <row r="9" spans="1:6" x14ac:dyDescent="0.35">
      <c r="A9" s="24" t="str">
        <f>IF(Transactions!A9="","",Transactions!A9)</f>
        <v/>
      </c>
      <c r="B9" s="10">
        <f>Transactions!B9</f>
        <v>0</v>
      </c>
      <c r="C9" s="10">
        <f>Transactions!C9</f>
        <v>0</v>
      </c>
      <c r="D9" s="10">
        <f>Transactions!D9</f>
        <v>0</v>
      </c>
      <c r="E9" s="10">
        <f>Transactions!E9</f>
        <v>0</v>
      </c>
      <c r="F9" s="8" t="str">
        <f>IF(OR($A9="",$C9=""),"",IF(VLOOKUP($C9,Chart_of_Accounts!$B:$D,3,0)="Debit",SUMIF(Transactions!$C:$C,$C9,Transactions!$D:$D)-SUMIF(Transactions!$C:$C,$C9,Transactions!$E:$E),SUMIF(Transactions!$C:$C,$C9,Transactions!$E:$E)-SUMIF(Transactions!$C:$C,$C9,Transactions!$D:$D)))</f>
        <v/>
      </c>
    </row>
    <row r="10" spans="1:6" x14ac:dyDescent="0.35">
      <c r="A10" s="24" t="str">
        <f>IF(Transactions!A10="","",Transactions!A10)</f>
        <v/>
      </c>
      <c r="B10" s="8">
        <f>Transactions!B10</f>
        <v>0</v>
      </c>
      <c r="C10" s="8">
        <f>Transactions!C10</f>
        <v>0</v>
      </c>
      <c r="D10" s="8">
        <f>Transactions!D10</f>
        <v>0</v>
      </c>
      <c r="E10" s="8">
        <f>Transactions!E10</f>
        <v>0</v>
      </c>
      <c r="F10" s="8" t="str">
        <f>IF(OR($A4="",$C4=""),"",IF(VLOOKUP($C4,Chart_of_Accounts!$B:$D,3,0)="Debit",D4-E4,E4-D4))</f>
        <v/>
      </c>
    </row>
    <row r="11" spans="1:6" x14ac:dyDescent="0.35">
      <c r="A11" s="24" t="str">
        <f>IF(Transactions!A11="","",Transactions!A11)</f>
        <v/>
      </c>
      <c r="B11" s="10">
        <f>Transactions!B11</f>
        <v>0</v>
      </c>
      <c r="C11" s="10">
        <f>Transactions!C11</f>
        <v>0</v>
      </c>
      <c r="D11" s="10">
        <f>Transactions!D11</f>
        <v>0</v>
      </c>
      <c r="E11" s="10">
        <f>Transactions!E11</f>
        <v>0</v>
      </c>
      <c r="F11" s="8" t="str">
        <f>IF(OR($A5="",$C5=""),"",IF($C5=$C4,F4+IF(VLOOKUP($C5,Chart_of_Accounts!$B:$D,3,0)="Debit",D5-E5,E5-D5),IF(VLOOKUP($C5,Chart_of_Accounts!$B:$D,3,0)="Debit",D5-E5,E5-D5)))</f>
        <v/>
      </c>
    </row>
    <row r="12" spans="1:6" x14ac:dyDescent="0.35">
      <c r="A12" s="24" t="str">
        <f>IF(Transactions!A12="","",Transactions!A12)</f>
        <v/>
      </c>
      <c r="B12" s="8">
        <f>Transactions!B12</f>
        <v>0</v>
      </c>
      <c r="C12" s="8">
        <f>Transactions!C12</f>
        <v>0</v>
      </c>
      <c r="D12" s="8">
        <f>Transactions!D12</f>
        <v>0</v>
      </c>
      <c r="E12" s="8">
        <f>Transactions!E12</f>
        <v>0</v>
      </c>
      <c r="F12" s="8" t="str">
        <f>IF(OR($A6="",$C6=""),"",IF($C6=$C5,F5+IF(VLOOKUP($C6,Chart_of_Accounts!$B:$D,3,0)="Debit",D6-E6,E6-D6),IF(VLOOKUP($C6,Chart_of_Accounts!$B:$D,3,0)="Debit",D6-E6,E6-D6)))</f>
        <v/>
      </c>
    </row>
    <row r="13" spans="1:6" x14ac:dyDescent="0.35">
      <c r="A13" s="24" t="str">
        <f>IF(Transactions!A13="","",Transactions!A13)</f>
        <v/>
      </c>
      <c r="B13" s="10">
        <f>Transactions!B13</f>
        <v>0</v>
      </c>
      <c r="C13" s="10">
        <f>Transactions!C13</f>
        <v>0</v>
      </c>
      <c r="D13" s="10">
        <f>Transactions!D13</f>
        <v>0</v>
      </c>
      <c r="E13" s="10">
        <f>Transactions!E13</f>
        <v>0</v>
      </c>
      <c r="F13" s="8" t="str">
        <f>IF(OR($A7="",$C7=""),"",IF($C7=$C6,F6+IF(VLOOKUP($C7,Chart_of_Accounts!$B:$D,3,0)="Debit",D7-E7,E7-D7),IF(VLOOKUP($C7,Chart_of_Accounts!$B:$D,3,0)="Debit",D7-E7,E7-D7)))</f>
        <v/>
      </c>
    </row>
    <row r="14" spans="1:6" x14ac:dyDescent="0.35">
      <c r="A14" s="24" t="str">
        <f>IF(Transactions!A14="","",Transactions!A14)</f>
        <v/>
      </c>
      <c r="B14" s="8">
        <f>Transactions!B14</f>
        <v>0</v>
      </c>
      <c r="C14" s="8">
        <f>Transactions!C14</f>
        <v>0</v>
      </c>
      <c r="D14" s="8">
        <f>Transactions!D14</f>
        <v>0</v>
      </c>
      <c r="E14" s="8">
        <f>Transactions!E14</f>
        <v>0</v>
      </c>
      <c r="F14" s="8" t="str">
        <f>IF(OR($A8="",$C8=""),"",IF($C8=$C7,F7+IF(VLOOKUP($C8,Chart_of_Accounts!$B:$D,3,0)="Debit",D8-E8,E8-D8),IF(VLOOKUP($C8,Chart_of_Accounts!$B:$D,3,0)="Debit",D8-E8,E8-D8)))</f>
        <v/>
      </c>
    </row>
    <row r="15" spans="1:6" x14ac:dyDescent="0.35">
      <c r="A15" s="24" t="str">
        <f>IF(Transactions!A15="","",Transactions!A15)</f>
        <v/>
      </c>
      <c r="B15" s="10">
        <f>Transactions!B15</f>
        <v>0</v>
      </c>
      <c r="C15" s="10">
        <f>Transactions!C15</f>
        <v>0</v>
      </c>
      <c r="D15" s="10">
        <f>Transactions!D15</f>
        <v>0</v>
      </c>
      <c r="E15" s="10">
        <f>Transactions!E15</f>
        <v>0</v>
      </c>
      <c r="F15" s="8" t="str">
        <f>IF(OR($A9="",$C9=""),"",IF($C9=$C8,F8+IF(VLOOKUP($C9,Chart_of_Accounts!$B:$D,3,0)="Debit",D9-E9,E9-D9),IF(VLOOKUP($C9,Chart_of_Accounts!$B:$D,3,0)="Debit",D9-E9,E9-D9)))</f>
        <v/>
      </c>
    </row>
    <row r="16" spans="1:6" x14ac:dyDescent="0.35">
      <c r="A16" s="24" t="str">
        <f>IF(Transactions!A16="","",Transactions!A16)</f>
        <v/>
      </c>
      <c r="B16" s="8">
        <f>Transactions!B16</f>
        <v>0</v>
      </c>
      <c r="C16" s="8">
        <f>Transactions!C16</f>
        <v>0</v>
      </c>
      <c r="D16" s="8">
        <f>Transactions!D16</f>
        <v>0</v>
      </c>
      <c r="E16" s="8">
        <f>Transactions!E16</f>
        <v>0</v>
      </c>
      <c r="F16" s="8" t="str">
        <f>IF(OR($A10="",$C10=""),"",IF($C10=$C9,F9+IF(VLOOKUP($C10,Chart_of_Accounts!$B:$D,3,0)="Debit",D10-E10,E10-D10),IF(VLOOKUP($C10,Chart_of_Accounts!$B:$D,3,0)="Debit",D10-E10,E10-D10)))</f>
        <v/>
      </c>
    </row>
    <row r="17" spans="1:6" x14ac:dyDescent="0.35">
      <c r="A17" s="24" t="str">
        <f>IF(Transactions!A17="","",Transactions!A17)</f>
        <v/>
      </c>
      <c r="B17" s="10">
        <f>Transactions!B17</f>
        <v>0</v>
      </c>
      <c r="C17" s="10">
        <f>Transactions!C17</f>
        <v>0</v>
      </c>
      <c r="D17" s="10">
        <f>Transactions!D17</f>
        <v>0</v>
      </c>
      <c r="E17" s="10">
        <f>Transactions!E17</f>
        <v>0</v>
      </c>
      <c r="F17" s="8" t="str">
        <f>IF(OR($A11="",$C11=""),"",IF($C11=$C10,F10+IF(VLOOKUP($C11,Chart_of_Accounts!$B:$D,3,0)="Debit",D11-E11,E11-D11),IF(VLOOKUP($C11,Chart_of_Accounts!$B:$D,3,0)="Debit",D11-E11,E11-D11)))</f>
        <v/>
      </c>
    </row>
    <row r="18" spans="1:6" x14ac:dyDescent="0.35">
      <c r="A18" s="24" t="str">
        <f>IF(Transactions!A18="","",Transactions!A18)</f>
        <v/>
      </c>
      <c r="B18" s="8">
        <f>Transactions!B18</f>
        <v>0</v>
      </c>
      <c r="C18" s="8">
        <f>Transactions!C18</f>
        <v>0</v>
      </c>
      <c r="D18" s="8">
        <f>Transactions!D18</f>
        <v>0</v>
      </c>
      <c r="E18" s="8">
        <f>Transactions!E18</f>
        <v>0</v>
      </c>
      <c r="F18" s="8" t="str">
        <f>IF(OR($A12="",$C12=""),"",IF($C12=$C11,F11+IF(VLOOKUP($C12,Chart_of_Accounts!$B:$D,3,0)="Debit",D12-E12,E12-D12),IF(VLOOKUP($C12,Chart_of_Accounts!$B:$D,3,0)="Debit",D12-E12,E12-D12)))</f>
        <v/>
      </c>
    </row>
    <row r="19" spans="1:6" x14ac:dyDescent="0.35">
      <c r="A19" s="24" t="str">
        <f>IF(Transactions!A19="","",Transactions!A19)</f>
        <v/>
      </c>
      <c r="B19" s="10">
        <f>Transactions!B19</f>
        <v>0</v>
      </c>
      <c r="C19" s="10">
        <f>Transactions!C19</f>
        <v>0</v>
      </c>
      <c r="D19" s="10">
        <f>Transactions!D19</f>
        <v>0</v>
      </c>
      <c r="E19" s="10">
        <f>Transactions!E19</f>
        <v>0</v>
      </c>
      <c r="F19" s="8" t="str">
        <f>IF(OR($A13="",$C13=""),"",IF($C13=$C12,F12+IF(VLOOKUP($C13,Chart_of_Accounts!$B:$D,3,0)="Debit",D13-E13,E13-D13),IF(VLOOKUP($C13,Chart_of_Accounts!$B:$D,3,0)="Debit",D13-E13,E13-D13)))</f>
        <v/>
      </c>
    </row>
    <row r="20" spans="1:6" x14ac:dyDescent="0.35">
      <c r="A20" s="24"/>
      <c r="B20" s="8">
        <f>Transactions!B20</f>
        <v>0</v>
      </c>
      <c r="C20" s="8">
        <f>Transactions!C20</f>
        <v>0</v>
      </c>
      <c r="D20" s="8">
        <f>Transactions!D20</f>
        <v>0</v>
      </c>
      <c r="E20" s="8">
        <f>Transactions!E20</f>
        <v>0</v>
      </c>
      <c r="F20" s="8"/>
    </row>
    <row r="21" spans="1:6" x14ac:dyDescent="0.35">
      <c r="A21" s="24"/>
      <c r="B21" s="10">
        <f>Transactions!B21</f>
        <v>0</v>
      </c>
      <c r="C21" s="10">
        <f>Transactions!C21</f>
        <v>0</v>
      </c>
      <c r="D21" s="10">
        <f>Transactions!D21</f>
        <v>0</v>
      </c>
      <c r="E21" s="10">
        <f>Transactions!E21</f>
        <v>0</v>
      </c>
      <c r="F21" s="8"/>
    </row>
    <row r="22" spans="1:6" x14ac:dyDescent="0.35">
      <c r="A22" s="24"/>
      <c r="B22" s="8">
        <f>Transactions!B22</f>
        <v>0</v>
      </c>
      <c r="C22" s="8">
        <f>Transactions!C22</f>
        <v>0</v>
      </c>
      <c r="D22" s="8">
        <f>Transactions!D22</f>
        <v>0</v>
      </c>
      <c r="E22" s="8">
        <f>Transactions!E22</f>
        <v>0</v>
      </c>
      <c r="F22" s="8"/>
    </row>
    <row r="23" spans="1:6" x14ac:dyDescent="0.35">
      <c r="A23" s="24"/>
      <c r="B23" s="10">
        <f>Transactions!B23</f>
        <v>0</v>
      </c>
      <c r="C23" s="10">
        <f>Transactions!C23</f>
        <v>0</v>
      </c>
      <c r="D23" s="10">
        <f>Transactions!D23</f>
        <v>0</v>
      </c>
      <c r="E23" s="10">
        <f>Transactions!E23</f>
        <v>0</v>
      </c>
      <c r="F23" s="8"/>
    </row>
    <row r="24" spans="1:6" x14ac:dyDescent="0.35">
      <c r="A24" s="24"/>
      <c r="B24" s="8">
        <f>Transactions!B24</f>
        <v>0</v>
      </c>
      <c r="C24" s="8">
        <f>Transactions!C24</f>
        <v>0</v>
      </c>
      <c r="D24" s="8">
        <f>Transactions!D24</f>
        <v>0</v>
      </c>
      <c r="E24" s="8">
        <f>Transactions!E24</f>
        <v>0</v>
      </c>
      <c r="F24" s="8"/>
    </row>
    <row r="25" spans="1:6" x14ac:dyDescent="0.35">
      <c r="A25" s="24"/>
      <c r="B25" s="10">
        <f>Transactions!B25</f>
        <v>0</v>
      </c>
      <c r="C25" s="10">
        <f>Transactions!C25</f>
        <v>0</v>
      </c>
      <c r="D25" s="10">
        <f>Transactions!D25</f>
        <v>0</v>
      </c>
      <c r="E25" s="10">
        <f>Transactions!E25</f>
        <v>0</v>
      </c>
      <c r="F25" s="8"/>
    </row>
    <row r="26" spans="1:6" x14ac:dyDescent="0.35">
      <c r="A26" s="24"/>
      <c r="B26" s="8">
        <f>Transactions!B26</f>
        <v>0</v>
      </c>
      <c r="C26" s="8">
        <f>Transactions!C26</f>
        <v>0</v>
      </c>
      <c r="D26" s="8">
        <f>Transactions!D26</f>
        <v>0</v>
      </c>
      <c r="E26" s="8">
        <f>Transactions!E26</f>
        <v>0</v>
      </c>
      <c r="F26" s="8" t="str">
        <f>IF(OR($A20="",$C20=""),"",IF($C20=$C19,F19+IF(VLOOKUP($C20,Chart_of_Accounts!$B:$D,3,0)="Debit",D20-E20,E20-D20),IF(VLOOKUP($C20,Chart_of_Accounts!$B:$D,3,0)="Debit",D20-E20,E20-D20)))</f>
        <v/>
      </c>
    </row>
    <row r="27" spans="1:6" x14ac:dyDescent="0.35">
      <c r="A27" s="24"/>
      <c r="B27" s="10">
        <f>Transactions!B27</f>
        <v>0</v>
      </c>
      <c r="C27" s="10">
        <f>Transactions!C27</f>
        <v>0</v>
      </c>
      <c r="D27" s="10">
        <f>Transactions!D27</f>
        <v>0</v>
      </c>
      <c r="E27" s="10">
        <f>Transactions!E27</f>
        <v>0</v>
      </c>
      <c r="F27" s="8" t="str">
        <f>IF(OR($A21="",$C21=""),"",IF($C21=$C20,F20+IF(VLOOKUP($C21,Chart_of_Accounts!$B:$D,3,0)="Debit",D21-E21,E21-D21),IF(VLOOKUP($C21,Chart_of_Accounts!$B:$D,3,0)="Debit",D21-E21,E21-D21)))</f>
        <v/>
      </c>
    </row>
    <row r="28" spans="1:6" x14ac:dyDescent="0.35">
      <c r="A28" s="24"/>
      <c r="B28" s="8">
        <f>Transactions!B28</f>
        <v>0</v>
      </c>
      <c r="C28" s="8">
        <f>Transactions!C28</f>
        <v>0</v>
      </c>
      <c r="D28" s="8">
        <f>Transactions!D28</f>
        <v>0</v>
      </c>
      <c r="E28" s="8">
        <f>Transactions!E28</f>
        <v>0</v>
      </c>
      <c r="F28" s="8" t="str">
        <f>IF(OR($A22="",$C22=""),"",IF($C22=$C21,F21+IF(VLOOKUP($C22,Chart_of_Accounts!$B:$D,3,0)="Debit",D22-E22,E22-D22),IF(VLOOKUP($C22,Chart_of_Accounts!$B:$D,3,0)="Debit",D22-E22,E22-D22)))</f>
        <v/>
      </c>
    </row>
    <row r="29" spans="1:6" x14ac:dyDescent="0.35">
      <c r="A29" s="24"/>
      <c r="B29" s="10">
        <f>Transactions!B29</f>
        <v>0</v>
      </c>
      <c r="C29" s="10">
        <f>Transactions!C29</f>
        <v>0</v>
      </c>
      <c r="D29" s="10">
        <f>Transactions!D29</f>
        <v>0</v>
      </c>
      <c r="E29" s="10">
        <f>Transactions!E29</f>
        <v>0</v>
      </c>
      <c r="F29" s="8" t="str">
        <f>IF(OR($A23="",$C23=""),"",IF($C23=$C22,F22+IF(VLOOKUP($C23,Chart_of_Accounts!$B:$D,3,0)="Debit",D23-E23,E23-D23),IF(VLOOKUP($C23,Chart_of_Accounts!$B:$D,3,0)="Debit",D23-E23,E23-D23)))</f>
        <v/>
      </c>
    </row>
    <row r="30" spans="1:6" x14ac:dyDescent="0.35">
      <c r="A30" s="24"/>
      <c r="B30" s="8">
        <f>Transactions!B30</f>
        <v>0</v>
      </c>
      <c r="C30" s="8">
        <f>Transactions!C30</f>
        <v>0</v>
      </c>
      <c r="D30" s="8">
        <f>Transactions!D30</f>
        <v>0</v>
      </c>
      <c r="E30" s="8">
        <f>Transactions!E30</f>
        <v>0</v>
      </c>
      <c r="F30" s="8" t="str">
        <f>IF(OR($A24="",$C24=""),"",IF($C24=$C23,F23+IF(VLOOKUP($C24,Chart_of_Accounts!$B:$D,3,0)="Debit",D24-E24,E24-D24),IF(VLOOKUP($C24,Chart_of_Accounts!$B:$D,3,0)="Debit",D24-E24,E24-D24)))</f>
        <v/>
      </c>
    </row>
    <row r="31" spans="1:6" x14ac:dyDescent="0.35">
      <c r="A31" s="24"/>
      <c r="B31" s="10">
        <f>Transactions!B31</f>
        <v>0</v>
      </c>
      <c r="C31" s="10">
        <f>Transactions!C31</f>
        <v>0</v>
      </c>
      <c r="D31" s="10">
        <f>Transactions!D31</f>
        <v>0</v>
      </c>
      <c r="E31" s="10">
        <f>Transactions!E31</f>
        <v>0</v>
      </c>
      <c r="F31" s="8" t="str">
        <f>IF(OR($A25="",$C25=""),"",IF($C25=$C24,F24+IF(VLOOKUP($C25,Chart_of_Accounts!$B:$D,3,0)="Debit",D25-E25,E25-D25),IF(VLOOKUP($C25,Chart_of_Accounts!$B:$D,3,0)="Debit",D25-E25,E25-D25)))</f>
        <v/>
      </c>
    </row>
    <row r="32" spans="1:6" x14ac:dyDescent="0.35">
      <c r="A32" s="24"/>
      <c r="B32" s="8">
        <f>Transactions!B32</f>
        <v>0</v>
      </c>
      <c r="C32" s="8">
        <f>Transactions!C32</f>
        <v>0</v>
      </c>
      <c r="D32" s="8">
        <f>Transactions!D32</f>
        <v>0</v>
      </c>
      <c r="E32" s="8">
        <f>Transactions!E32</f>
        <v>0</v>
      </c>
      <c r="F32" s="8" t="str">
        <f>IF(OR($A26="",$C26=""),"",IF($C26=$C25,F25+IF(VLOOKUP($C26,Chart_of_Accounts!$B:$D,3,0)="Debit",D26-E26,E26-D26),IF(VLOOKUP($C26,Chart_of_Accounts!$B:$D,3,0)="Debit",D26-E26,E26-D26)))</f>
        <v/>
      </c>
    </row>
    <row r="33" spans="1:6" x14ac:dyDescent="0.35">
      <c r="A33" s="24"/>
      <c r="B33" s="10">
        <f>Transactions!B33</f>
        <v>0</v>
      </c>
      <c r="C33" s="10">
        <f>Transactions!C33</f>
        <v>0</v>
      </c>
      <c r="D33" s="10">
        <f>Transactions!D33</f>
        <v>0</v>
      </c>
      <c r="E33" s="10">
        <f>Transactions!E33</f>
        <v>0</v>
      </c>
      <c r="F33" s="8" t="str">
        <f>IF(OR($A27="",$C27=""),"",IF($C27=$C26,F26+IF(VLOOKUP($C27,Chart_of_Accounts!$B:$D,3,0)="Debit",D27-E27,E27-D27),IF(VLOOKUP($C27,Chart_of_Accounts!$B:$D,3,0)="Debit",D27-E27,E27-D27)))</f>
        <v/>
      </c>
    </row>
    <row r="34" spans="1:6" x14ac:dyDescent="0.35">
      <c r="A34" s="24"/>
      <c r="B34" s="8">
        <f>Transactions!B34</f>
        <v>0</v>
      </c>
      <c r="C34" s="8">
        <f>Transactions!C34</f>
        <v>0</v>
      </c>
      <c r="D34" s="8">
        <f>Transactions!D34</f>
        <v>0</v>
      </c>
      <c r="E34" s="8">
        <f>Transactions!E34</f>
        <v>0</v>
      </c>
      <c r="F34" s="8" t="str">
        <f>IF(OR($A28="",$C28=""),"",IF($C28=$C27,F27+IF(VLOOKUP($C28,Chart_of_Accounts!$B:$D,3,0)="Debit",D28-E28,E28-D28),IF(VLOOKUP($C28,Chart_of_Accounts!$B:$D,3,0)="Debit",D28-E28,E28-D28)))</f>
        <v/>
      </c>
    </row>
    <row r="35" spans="1:6" x14ac:dyDescent="0.35">
      <c r="A35" s="24"/>
      <c r="B35" s="10">
        <f>Transactions!B35</f>
        <v>0</v>
      </c>
      <c r="C35" s="10">
        <f>Transactions!C35</f>
        <v>0</v>
      </c>
      <c r="D35" s="10">
        <f>Transactions!D35</f>
        <v>0</v>
      </c>
      <c r="E35" s="10">
        <f>Transactions!E35</f>
        <v>0</v>
      </c>
      <c r="F35" s="8" t="str">
        <f>IF(OR($A29="",$C29=""),"",IF($C29=$C28,F28+IF(VLOOKUP($C29,Chart_of_Accounts!$B:$D,3,0)="Debit",D29-E29,E29-D29),IF(VLOOKUP($C29,Chart_of_Accounts!$B:$D,3,0)="Debit",D29-E29,E29-D29)))</f>
        <v/>
      </c>
    </row>
    <row r="36" spans="1:6" x14ac:dyDescent="0.35">
      <c r="A36" s="24"/>
      <c r="B36" s="8">
        <f>Transactions!B36</f>
        <v>0</v>
      </c>
      <c r="C36" s="8">
        <f>Transactions!C36</f>
        <v>0</v>
      </c>
      <c r="D36" s="8">
        <f>Transactions!D36</f>
        <v>0</v>
      </c>
      <c r="E36" s="8">
        <f>Transactions!E36</f>
        <v>0</v>
      </c>
      <c r="F36" s="8" t="str">
        <f>IF(OR($A30="",$C30=""),"",IF($C30=$C29,F29+IF(VLOOKUP($C30,Chart_of_Accounts!$B:$D,3,0)="Debit",D30-E30,E30-D30),IF(VLOOKUP($C30,Chart_of_Accounts!$B:$D,3,0)="Debit",D30-E30,E30-D30)))</f>
        <v/>
      </c>
    </row>
    <row r="37" spans="1:6" x14ac:dyDescent="0.35">
      <c r="A37" s="24"/>
      <c r="B37" s="10">
        <f>Transactions!B37</f>
        <v>0</v>
      </c>
      <c r="C37" s="10">
        <f>Transactions!C37</f>
        <v>0</v>
      </c>
      <c r="D37" s="10">
        <f>Transactions!D37</f>
        <v>0</v>
      </c>
      <c r="E37" s="10">
        <f>Transactions!E37</f>
        <v>0</v>
      </c>
      <c r="F37" s="8" t="str">
        <f>IF(OR($A31="",$C31=""),"",IF($C31=$C30,F30+IF(VLOOKUP($C31,Chart_of_Accounts!$B:$D,3,0)="Debit",D31-E31,E31-D31),IF(VLOOKUP($C31,Chart_of_Accounts!$B:$D,3,0)="Debit",D31-E31,E31-D31)))</f>
        <v/>
      </c>
    </row>
    <row r="38" spans="1:6" x14ac:dyDescent="0.35">
      <c r="A38" s="24"/>
      <c r="B38" s="8">
        <f>Transactions!B38</f>
        <v>0</v>
      </c>
      <c r="C38" s="8">
        <f>Transactions!C38</f>
        <v>0</v>
      </c>
      <c r="D38" s="8">
        <f>Transactions!D38</f>
        <v>0</v>
      </c>
      <c r="E38" s="8">
        <f>Transactions!E38</f>
        <v>0</v>
      </c>
      <c r="F38" s="8" t="str">
        <f>IF(OR($A32="",$C32=""),"",IF($C32=$C31,F31+IF(VLOOKUP($C32,Chart_of_Accounts!$B:$D,3,0)="Debit",D32-E32,E32-D32),IF(VLOOKUP($C32,Chart_of_Accounts!$B:$D,3,0)="Debit",D32-E32,E32-D32)))</f>
        <v/>
      </c>
    </row>
    <row r="39" spans="1:6" x14ac:dyDescent="0.35">
      <c r="A39" s="24"/>
      <c r="B39" s="10">
        <f>Transactions!B39</f>
        <v>0</v>
      </c>
      <c r="C39" s="10">
        <f>Transactions!C39</f>
        <v>0</v>
      </c>
      <c r="D39" s="10">
        <f>Transactions!D39</f>
        <v>0</v>
      </c>
      <c r="E39" s="10">
        <f>Transactions!E39</f>
        <v>0</v>
      </c>
      <c r="F39" s="8" t="str">
        <f>IF(OR($A33="",$C33=""),"",IF($C33=$C32,F32+IF(VLOOKUP($C33,Chart_of_Accounts!$B:$D,3,0)="Debit",D33-E33,E33-D33),IF(VLOOKUP($C33,Chart_of_Accounts!$B:$D,3,0)="Debit",D33-E33,E33-D33)))</f>
        <v/>
      </c>
    </row>
    <row r="40" spans="1:6" x14ac:dyDescent="0.35">
      <c r="A40" s="24"/>
      <c r="B40" s="8">
        <f>Transactions!B40</f>
        <v>0</v>
      </c>
      <c r="C40" s="8">
        <f>Transactions!C40</f>
        <v>0</v>
      </c>
      <c r="D40" s="8">
        <f>Transactions!D40</f>
        <v>0</v>
      </c>
      <c r="E40" s="8">
        <f>Transactions!E40</f>
        <v>0</v>
      </c>
      <c r="F40" s="8" t="str">
        <f>IF(OR($A34="",$C34=""),"",IF($C34=$C33,F33+IF(VLOOKUP($C34,Chart_of_Accounts!$B:$D,3,0)="Debit",D34-E34,E34-D34),IF(VLOOKUP($C34,Chart_of_Accounts!$B:$D,3,0)="Debit",D34-E34,E34-D34)))</f>
        <v/>
      </c>
    </row>
    <row r="41" spans="1:6" x14ac:dyDescent="0.35">
      <c r="A41" s="24"/>
      <c r="B41" s="10">
        <f>Transactions!B41</f>
        <v>0</v>
      </c>
      <c r="C41" s="10">
        <f>Transactions!C41</f>
        <v>0</v>
      </c>
      <c r="D41" s="10">
        <f>Transactions!D41</f>
        <v>0</v>
      </c>
      <c r="E41" s="10">
        <f>Transactions!E41</f>
        <v>0</v>
      </c>
      <c r="F41" s="8" t="str">
        <f>IF(OR($A35="",$C35=""),"",IF($C35=$C34,F34+IF(VLOOKUP($C35,Chart_of_Accounts!$B:$D,3,0)="Debit",D35-E35,E35-D35),IF(VLOOKUP($C35,Chart_of_Accounts!$B:$D,3,0)="Debit",D35-E35,E35-D35)))</f>
        <v/>
      </c>
    </row>
    <row r="42" spans="1:6" x14ac:dyDescent="0.35">
      <c r="A42" s="24"/>
      <c r="B42" s="8">
        <f>Transactions!B42</f>
        <v>0</v>
      </c>
      <c r="C42" s="8">
        <f>Transactions!C42</f>
        <v>0</v>
      </c>
      <c r="D42" s="8">
        <f>Transactions!D42</f>
        <v>0</v>
      </c>
      <c r="E42" s="8">
        <f>Transactions!E42</f>
        <v>0</v>
      </c>
      <c r="F42" s="8" t="str">
        <f>IF(OR($A36="",$C36=""),"",IF($C36=$C35,F35+IF(VLOOKUP($C36,Chart_of_Accounts!$B:$D,3,0)="Debit",D36-E36,E36-D36),IF(VLOOKUP($C36,Chart_of_Accounts!$B:$D,3,0)="Debit",D36-E36,E36-D36)))</f>
        <v/>
      </c>
    </row>
    <row r="43" spans="1:6" x14ac:dyDescent="0.35">
      <c r="A43" s="24"/>
      <c r="B43" s="10">
        <f>Transactions!B43</f>
        <v>0</v>
      </c>
      <c r="C43" s="10">
        <f>Transactions!C43</f>
        <v>0</v>
      </c>
      <c r="D43" s="10">
        <f>Transactions!D43</f>
        <v>0</v>
      </c>
      <c r="E43" s="10">
        <f>Transactions!E43</f>
        <v>0</v>
      </c>
      <c r="F43" s="8" t="str">
        <f>IF(OR($A37="",$C37=""),"",IF($C37=$C36,F36+IF(VLOOKUP($C37,Chart_of_Accounts!$B:$D,3,0)="Debit",D37-E37,E37-D37),IF(VLOOKUP($C37,Chart_of_Accounts!$B:$D,3,0)="Debit",D37-E37,E37-D37)))</f>
        <v/>
      </c>
    </row>
    <row r="44" spans="1:6" x14ac:dyDescent="0.35">
      <c r="A44" s="24"/>
      <c r="B44" s="8">
        <f>Transactions!B44</f>
        <v>0</v>
      </c>
      <c r="C44" s="8">
        <f>Transactions!C44</f>
        <v>0</v>
      </c>
      <c r="D44" s="8">
        <f>Transactions!D44</f>
        <v>0</v>
      </c>
      <c r="E44" s="8">
        <f>Transactions!E44</f>
        <v>0</v>
      </c>
      <c r="F44" s="8" t="str">
        <f>IF(OR($A38="",$C38=""),"",IF($C38=$C37,F37+IF(VLOOKUP($C38,Chart_of_Accounts!$B:$D,3,0)="Debit",D38-E38,E38-D38),IF(VLOOKUP($C38,Chart_of_Accounts!$B:$D,3,0)="Debit",D38-E38,E38-D38)))</f>
        <v/>
      </c>
    </row>
    <row r="45" spans="1:6" x14ac:dyDescent="0.35">
      <c r="A45" s="24"/>
      <c r="B45" s="10">
        <f>Transactions!B45</f>
        <v>0</v>
      </c>
      <c r="C45" s="10">
        <f>Transactions!C45</f>
        <v>0</v>
      </c>
      <c r="D45" s="10">
        <f>Transactions!D45</f>
        <v>0</v>
      </c>
      <c r="E45" s="10">
        <f>Transactions!E45</f>
        <v>0</v>
      </c>
      <c r="F45" s="8" t="str">
        <f>IF(OR($A39="",$C39=""),"",IF($C39=$C38,F38+IF(VLOOKUP($C39,Chart_of_Accounts!$B:$D,3,0)="Debit",D39-E39,E39-D39),IF(VLOOKUP($C39,Chart_of_Accounts!$B:$D,3,0)="Debit",D39-E39,E39-D39)))</f>
        <v/>
      </c>
    </row>
    <row r="46" spans="1:6" x14ac:dyDescent="0.35">
      <c r="A46" s="24"/>
      <c r="B46" s="8">
        <f>Transactions!B46</f>
        <v>0</v>
      </c>
      <c r="C46" s="8">
        <f>Transactions!C46</f>
        <v>0</v>
      </c>
      <c r="D46" s="8">
        <f>Transactions!D46</f>
        <v>0</v>
      </c>
      <c r="E46" s="8">
        <f>Transactions!E46</f>
        <v>0</v>
      </c>
      <c r="F46" s="8" t="str">
        <f>IF(OR($A40="",$C40=""),"",IF($C40=$C39,F39+IF(VLOOKUP($C40,Chart_of_Accounts!$B:$D,3,0)="Debit",D40-E40,E40-D40),IF(VLOOKUP($C40,Chart_of_Accounts!$B:$D,3,0)="Debit",D40-E40,E40-D40)))</f>
        <v/>
      </c>
    </row>
    <row r="47" spans="1:6" x14ac:dyDescent="0.35">
      <c r="A47" s="24"/>
      <c r="B47" s="10">
        <f>Transactions!B47</f>
        <v>0</v>
      </c>
      <c r="C47" s="10">
        <f>Transactions!C47</f>
        <v>0</v>
      </c>
      <c r="D47" s="10">
        <f>Transactions!D47</f>
        <v>0</v>
      </c>
      <c r="E47" s="10">
        <f>Transactions!E47</f>
        <v>0</v>
      </c>
      <c r="F47" s="8" t="str">
        <f>IF(OR($A41="",$C41=""),"",IF($C41=$C40,F40+IF(VLOOKUP($C41,Chart_of_Accounts!$B:$D,3,0)="Debit",D41-E41,E41-D41),IF(VLOOKUP($C41,Chart_of_Accounts!$B:$D,3,0)="Debit",D41-E41,E41-D41)))</f>
        <v/>
      </c>
    </row>
    <row r="48" spans="1:6" x14ac:dyDescent="0.35">
      <c r="A48" s="24"/>
      <c r="B48" s="8">
        <f>Transactions!B48</f>
        <v>0</v>
      </c>
      <c r="C48" s="8">
        <f>Transactions!C48</f>
        <v>0</v>
      </c>
      <c r="D48" s="8">
        <f>Transactions!D48</f>
        <v>0</v>
      </c>
      <c r="E48" s="8">
        <f>Transactions!E48</f>
        <v>0</v>
      </c>
      <c r="F48" s="8" t="str">
        <f>IF(OR($A42="",$C42=""),"",IF($C42=$C41,F41+IF(VLOOKUP($C42,Chart_of_Accounts!$B:$D,3,0)="Debit",D42-E42,E42-D42),IF(VLOOKUP($C42,Chart_of_Accounts!$B:$D,3,0)="Debit",D42-E42,E42-D42)))</f>
        <v/>
      </c>
    </row>
    <row r="49" spans="1:6" x14ac:dyDescent="0.35">
      <c r="A49" s="24"/>
      <c r="B49" s="10">
        <f>Transactions!B49</f>
        <v>0</v>
      </c>
      <c r="C49" s="10">
        <f>Transactions!C49</f>
        <v>0</v>
      </c>
      <c r="D49" s="10">
        <f>Transactions!D49</f>
        <v>0</v>
      </c>
      <c r="E49" s="10">
        <f>Transactions!E49</f>
        <v>0</v>
      </c>
      <c r="F49" s="8" t="str">
        <f>IF(OR($A43="",$C43=""),"",IF($C43=$C42,F42+IF(VLOOKUP($C43,Chart_of_Accounts!$B:$D,3,0)="Debit",D43-E43,E43-D43),IF(VLOOKUP($C43,Chart_of_Accounts!$B:$D,3,0)="Debit",D43-E43,E43-D43)))</f>
        <v/>
      </c>
    </row>
    <row r="50" spans="1:6" x14ac:dyDescent="0.35">
      <c r="A50" s="24"/>
      <c r="B50" s="8">
        <f>Transactions!B50</f>
        <v>0</v>
      </c>
      <c r="C50" s="8">
        <f>Transactions!C50</f>
        <v>0</v>
      </c>
      <c r="D50" s="8">
        <f>Transactions!D50</f>
        <v>0</v>
      </c>
      <c r="E50" s="8">
        <f>Transactions!E50</f>
        <v>0</v>
      </c>
      <c r="F50" s="8" t="str">
        <f>IF(OR($A44="",$C44=""),"",IF($C44=$C43,F43+IF(VLOOKUP($C44,Chart_of_Accounts!$B:$D,3,0)="Debit",D44-E44,E44-D44),IF(VLOOKUP($C44,Chart_of_Accounts!$B:$D,3,0)="Debit",D44-E44,E44-D44)))</f>
        <v/>
      </c>
    </row>
    <row r="51" spans="1:6" x14ac:dyDescent="0.35">
      <c r="A51" s="24"/>
      <c r="B51" s="10">
        <f>Transactions!B51</f>
        <v>0</v>
      </c>
      <c r="C51" s="10">
        <f>Transactions!C51</f>
        <v>0</v>
      </c>
      <c r="D51" s="10">
        <f>Transactions!D51</f>
        <v>0</v>
      </c>
      <c r="E51" s="10">
        <f>Transactions!E51</f>
        <v>0</v>
      </c>
      <c r="F51" s="8" t="str">
        <f>IF(OR($A45="",$C45=""),"",IF($C45=$C44,F44+IF(VLOOKUP($C45,Chart_of_Accounts!$B:$D,3,0)="Debit",D45-E45,E45-D45),IF(VLOOKUP($C45,Chart_of_Accounts!$B:$D,3,0)="Debit",D45-E45,E45-D45)))</f>
        <v/>
      </c>
    </row>
    <row r="52" spans="1:6" x14ac:dyDescent="0.35">
      <c r="A52" s="24"/>
      <c r="B52" s="8">
        <f>Transactions!B52</f>
        <v>0</v>
      </c>
      <c r="C52" s="8">
        <f>Transactions!C52</f>
        <v>0</v>
      </c>
      <c r="D52" s="8">
        <f>Transactions!D52</f>
        <v>0</v>
      </c>
      <c r="E52" s="8">
        <f>Transactions!E52</f>
        <v>0</v>
      </c>
      <c r="F52" s="8" t="str">
        <f>IF(OR($A46="",$C46=""),"",IF($C46=$C45,F45+IF(VLOOKUP($C46,Chart_of_Accounts!$B:$D,3,0)="Debit",D46-E46,E46-D46),IF(VLOOKUP($C46,Chart_of_Accounts!$B:$D,3,0)="Debit",D46-E46,E46-D46)))</f>
        <v/>
      </c>
    </row>
    <row r="53" spans="1:6" x14ac:dyDescent="0.35">
      <c r="A53" s="24"/>
      <c r="B53" s="10">
        <f>Transactions!B53</f>
        <v>0</v>
      </c>
      <c r="C53" s="10">
        <f>Transactions!C53</f>
        <v>0</v>
      </c>
      <c r="D53" s="10">
        <f>Transactions!D53</f>
        <v>0</v>
      </c>
      <c r="E53" s="10">
        <f>Transactions!E53</f>
        <v>0</v>
      </c>
      <c r="F53" s="8" t="str">
        <f>IF(OR($A47="",$C47=""),"",IF($C47=$C46,F46+IF(VLOOKUP($C47,Chart_of_Accounts!$B:$D,3,0)="Debit",D47-E47,E47-D47),IF(VLOOKUP($C47,Chart_of_Accounts!$B:$D,3,0)="Debit",D47-E47,E47-D47)))</f>
        <v/>
      </c>
    </row>
    <row r="54" spans="1:6" x14ac:dyDescent="0.35">
      <c r="A54" s="24"/>
      <c r="B54" s="8">
        <f>Transactions!B54</f>
        <v>0</v>
      </c>
      <c r="C54" s="8">
        <f>Transactions!C54</f>
        <v>0</v>
      </c>
      <c r="D54" s="8">
        <f>Transactions!D54</f>
        <v>0</v>
      </c>
      <c r="E54" s="8">
        <f>Transactions!E54</f>
        <v>0</v>
      </c>
      <c r="F54" s="8" t="str">
        <f>IF(OR($A48="",$C48=""),"",IF($C48=$C47,F47+IF(VLOOKUP($C48,Chart_of_Accounts!$B:$D,3,0)="Debit",D48-E48,E48-D48),IF(VLOOKUP($C48,Chart_of_Accounts!$B:$D,3,0)="Debit",D48-E48,E48-D48)))</f>
        <v/>
      </c>
    </row>
    <row r="55" spans="1:6" x14ac:dyDescent="0.35">
      <c r="A55" s="24"/>
      <c r="B55" s="10">
        <f>Transactions!B55</f>
        <v>0</v>
      </c>
      <c r="C55" s="10">
        <f>Transactions!C55</f>
        <v>0</v>
      </c>
      <c r="D55" s="10">
        <f>Transactions!D55</f>
        <v>0</v>
      </c>
      <c r="E55" s="10">
        <f>Transactions!E55</f>
        <v>0</v>
      </c>
      <c r="F55" s="8" t="str">
        <f>IF(OR($A49="",$C49=""),"",IF($C49=$C48,F48+IF(VLOOKUP($C49,Chart_of_Accounts!$B:$D,3,0)="Debit",D49-E49,E49-D49),IF(VLOOKUP($C49,Chart_of_Accounts!$B:$D,3,0)="Debit",D49-E49,E49-D49)))</f>
        <v/>
      </c>
    </row>
    <row r="56" spans="1:6" x14ac:dyDescent="0.35">
      <c r="A56" s="24"/>
      <c r="B56" s="8">
        <f>Transactions!B56</f>
        <v>0</v>
      </c>
      <c r="C56" s="8">
        <f>Transactions!C56</f>
        <v>0</v>
      </c>
      <c r="D56" s="8">
        <f>Transactions!D56</f>
        <v>0</v>
      </c>
      <c r="E56" s="8">
        <f>Transactions!E56</f>
        <v>0</v>
      </c>
      <c r="F56" s="8" t="str">
        <f>IF(OR($A50="",$C50=""),"",IF($C50=$C49,F49+IF(VLOOKUP($C50,Chart_of_Accounts!$B:$D,3,0)="Debit",D50-E50,E50-D50),IF(VLOOKUP($C50,Chart_of_Accounts!$B:$D,3,0)="Debit",D50-E50,E50-D50)))</f>
        <v/>
      </c>
    </row>
    <row r="57" spans="1:6" x14ac:dyDescent="0.35">
      <c r="A57" s="24"/>
      <c r="B57" s="10">
        <f>Transactions!B57</f>
        <v>0</v>
      </c>
      <c r="C57" s="10">
        <f>Transactions!C57</f>
        <v>0</v>
      </c>
      <c r="D57" s="10">
        <f>Transactions!D57</f>
        <v>0</v>
      </c>
      <c r="E57" s="10">
        <f>Transactions!E57</f>
        <v>0</v>
      </c>
      <c r="F57" s="8" t="str">
        <f>IF(OR($A51="",$C51=""),"",IF($C51=$C50,F50+IF(VLOOKUP($C51,Chart_of_Accounts!$B:$D,3,0)="Debit",D51-E51,E51-D51),IF(VLOOKUP($C51,Chart_of_Accounts!$B:$D,3,0)="Debit",D51-E51,E51-D51)))</f>
        <v/>
      </c>
    </row>
    <row r="58" spans="1:6" x14ac:dyDescent="0.35">
      <c r="A58" s="24"/>
      <c r="B58" s="8">
        <f>Transactions!B58</f>
        <v>0</v>
      </c>
      <c r="C58" s="8">
        <f>Transactions!C58</f>
        <v>0</v>
      </c>
      <c r="D58" s="8">
        <f>Transactions!D58</f>
        <v>0</v>
      </c>
      <c r="E58" s="8">
        <f>Transactions!E58</f>
        <v>0</v>
      </c>
      <c r="F58" s="8" t="str">
        <f>IF(OR($A52="",$C52=""),"",IF($C52=$C51,F51+IF(VLOOKUP($C52,Chart_of_Accounts!$B:$D,3,0)="Debit",D52-E52,E52-D52),IF(VLOOKUP($C52,Chart_of_Accounts!$B:$D,3,0)="Debit",D52-E52,E52-D52)))</f>
        <v/>
      </c>
    </row>
    <row r="59" spans="1:6" x14ac:dyDescent="0.35">
      <c r="A59" s="24"/>
      <c r="B59" s="10">
        <f>Transactions!B59</f>
        <v>0</v>
      </c>
      <c r="C59" s="10">
        <f>Transactions!C59</f>
        <v>0</v>
      </c>
      <c r="D59" s="10">
        <f>Transactions!D59</f>
        <v>0</v>
      </c>
      <c r="E59" s="10">
        <f>Transactions!E59</f>
        <v>0</v>
      </c>
      <c r="F59" s="8" t="str">
        <f>IF(OR($A53="",$C53=""),"",IF($C53=$C52,F52+IF(VLOOKUP($C53,Chart_of_Accounts!$B:$D,3,0)="Debit",D53-E53,E53-D53),IF(VLOOKUP($C53,Chart_of_Accounts!$B:$D,3,0)="Debit",D53-E53,E53-D53)))</f>
        <v/>
      </c>
    </row>
    <row r="60" spans="1:6" x14ac:dyDescent="0.35">
      <c r="A60" s="24"/>
      <c r="B60" s="8">
        <f>Transactions!B60</f>
        <v>0</v>
      </c>
      <c r="C60" s="8">
        <f>Transactions!C60</f>
        <v>0</v>
      </c>
      <c r="D60" s="8">
        <f>Transactions!D60</f>
        <v>0</v>
      </c>
      <c r="E60" s="8">
        <f>Transactions!E60</f>
        <v>0</v>
      </c>
      <c r="F60" s="8" t="str">
        <f>IF(OR($A54="",$C54=""),"",IF($C54=$C53,F53+IF(VLOOKUP($C54,Chart_of_Accounts!$B:$D,3,0)="Debit",D54-E54,E54-D54),IF(VLOOKUP($C54,Chart_of_Accounts!$B:$D,3,0)="Debit",D54-E54,E54-D54)))</f>
        <v/>
      </c>
    </row>
    <row r="61" spans="1:6" x14ac:dyDescent="0.35">
      <c r="A61" s="24"/>
      <c r="B61" s="10">
        <f>Transactions!B61</f>
        <v>0</v>
      </c>
      <c r="C61" s="10">
        <f>Transactions!C61</f>
        <v>0</v>
      </c>
      <c r="D61" s="10">
        <f>Transactions!D61</f>
        <v>0</v>
      </c>
      <c r="E61" s="10">
        <f>Transactions!E61</f>
        <v>0</v>
      </c>
      <c r="F61" s="8" t="str">
        <f>IF(OR($A55="",$C55=""),"",IF($C55=$C54,F54+IF(VLOOKUP($C55,Chart_of_Accounts!$B:$D,3,0)="Debit",D55-E55,E55-D55),IF(VLOOKUP($C55,Chart_of_Accounts!$B:$D,3,0)="Debit",D55-E55,E55-D55)))</f>
        <v/>
      </c>
    </row>
    <row r="62" spans="1:6" x14ac:dyDescent="0.35">
      <c r="A62" s="24"/>
      <c r="B62" s="8">
        <f>Transactions!B62</f>
        <v>0</v>
      </c>
      <c r="C62" s="8">
        <f>Transactions!C62</f>
        <v>0</v>
      </c>
      <c r="D62" s="8">
        <f>Transactions!D62</f>
        <v>0</v>
      </c>
      <c r="E62" s="8">
        <f>Transactions!E62</f>
        <v>0</v>
      </c>
      <c r="F62" s="8" t="str">
        <f>IF(OR($A56="",$C56=""),"",IF($C56=$C55,F55+IF(VLOOKUP($C56,Chart_of_Accounts!$B:$D,3,0)="Debit",D56-E56,E56-D56),IF(VLOOKUP($C56,Chart_of_Accounts!$B:$D,3,0)="Debit",D56-E56,E56-D56)))</f>
        <v/>
      </c>
    </row>
    <row r="63" spans="1:6" x14ac:dyDescent="0.35">
      <c r="A63" s="24"/>
      <c r="B63" s="10">
        <f>Transactions!B63</f>
        <v>0</v>
      </c>
      <c r="C63" s="10">
        <f>Transactions!C63</f>
        <v>0</v>
      </c>
      <c r="D63" s="10">
        <f>Transactions!D63</f>
        <v>0</v>
      </c>
      <c r="E63" s="10">
        <f>Transactions!E63</f>
        <v>0</v>
      </c>
      <c r="F63" s="8" t="str">
        <f>IF(OR($A57="",$C57=""),"",IF($C57=$C56,F56+IF(VLOOKUP($C57,Chart_of_Accounts!$B:$D,3,0)="Debit",D57-E57,E57-D57),IF(VLOOKUP($C57,Chart_of_Accounts!$B:$D,3,0)="Debit",D57-E57,E57-D57)))</f>
        <v/>
      </c>
    </row>
    <row r="64" spans="1:6" x14ac:dyDescent="0.35">
      <c r="A64" s="24"/>
      <c r="B64" s="8">
        <f>Transactions!B64</f>
        <v>0</v>
      </c>
      <c r="C64" s="8">
        <f>Transactions!C64</f>
        <v>0</v>
      </c>
      <c r="D64" s="8">
        <f>Transactions!D64</f>
        <v>0</v>
      </c>
      <c r="E64" s="8">
        <f>Transactions!E64</f>
        <v>0</v>
      </c>
      <c r="F64" s="8" t="str">
        <f>IF(OR($A58="",$C58=""),"",IF($C58=$C57,F57+IF(VLOOKUP($C58,Chart_of_Accounts!$B:$D,3,0)="Debit",D58-E58,E58-D58),IF(VLOOKUP($C58,Chart_of_Accounts!$B:$D,3,0)="Debit",D58-E58,E58-D58)))</f>
        <v/>
      </c>
    </row>
    <row r="65" spans="1:6" x14ac:dyDescent="0.35">
      <c r="A65" s="24"/>
      <c r="B65" s="10">
        <f>Transactions!B65</f>
        <v>0</v>
      </c>
      <c r="C65" s="10">
        <f>Transactions!C65</f>
        <v>0</v>
      </c>
      <c r="D65" s="10">
        <f>Transactions!D65</f>
        <v>0</v>
      </c>
      <c r="E65" s="10">
        <f>Transactions!E65</f>
        <v>0</v>
      </c>
      <c r="F65" s="8" t="str">
        <f>IF(OR($A59="",$C59=""),"",IF($C59=$C58,F58+IF(VLOOKUP($C59,Chart_of_Accounts!$B:$D,3,0)="Debit",D59-E59,E59-D59),IF(VLOOKUP($C59,Chart_of_Accounts!$B:$D,3,0)="Debit",D59-E59,E59-D59)))</f>
        <v/>
      </c>
    </row>
    <row r="66" spans="1:6" x14ac:dyDescent="0.35">
      <c r="A66" s="24"/>
      <c r="B66" s="8">
        <f>Transactions!B66</f>
        <v>0</v>
      </c>
      <c r="C66" s="8">
        <f>Transactions!C66</f>
        <v>0</v>
      </c>
      <c r="D66" s="8">
        <f>Transactions!D66</f>
        <v>0</v>
      </c>
      <c r="E66" s="8">
        <f>Transactions!E66</f>
        <v>0</v>
      </c>
      <c r="F66" s="8" t="str">
        <f>IF(OR($A60="",$C60=""),"",IF($C60=$C59,F59+IF(VLOOKUP($C60,Chart_of_Accounts!$B:$D,3,0)="Debit",D60-E60,E60-D60),IF(VLOOKUP($C60,Chart_of_Accounts!$B:$D,3,0)="Debit",D60-E60,E60-D60)))</f>
        <v/>
      </c>
    </row>
    <row r="67" spans="1:6" x14ac:dyDescent="0.35">
      <c r="A67" s="24"/>
      <c r="B67" s="10">
        <f>Transactions!B67</f>
        <v>0</v>
      </c>
      <c r="C67" s="10">
        <f>Transactions!C67</f>
        <v>0</v>
      </c>
      <c r="D67" s="10">
        <f>Transactions!D67</f>
        <v>0</v>
      </c>
      <c r="E67" s="10">
        <f>Transactions!E67</f>
        <v>0</v>
      </c>
      <c r="F67" s="8" t="str">
        <f>IF(OR($A61="",$C61=""),"",IF($C61=$C60,F60+IF(VLOOKUP($C61,Chart_of_Accounts!$B:$D,3,0)="Debit",D61-E61,E61-D61),IF(VLOOKUP($C61,Chart_of_Accounts!$B:$D,3,0)="Debit",D61-E61,E61-D61)))</f>
        <v/>
      </c>
    </row>
    <row r="68" spans="1:6" x14ac:dyDescent="0.35">
      <c r="A68" s="24"/>
      <c r="B68" s="8">
        <f>Transactions!B68</f>
        <v>0</v>
      </c>
      <c r="C68" s="8">
        <f>Transactions!C68</f>
        <v>0</v>
      </c>
      <c r="D68" s="8">
        <f>Transactions!D68</f>
        <v>0</v>
      </c>
      <c r="E68" s="8">
        <f>Transactions!E68</f>
        <v>0</v>
      </c>
      <c r="F68" s="8" t="str">
        <f>IF(OR($A62="",$C62=""),"",IF($C62=$C61,F61+IF(VLOOKUP($C62,Chart_of_Accounts!$B:$D,3,0)="Debit",D62-E62,E62-D62),IF(VLOOKUP($C62,Chart_of_Accounts!$B:$D,3,0)="Debit",D62-E62,E62-D62)))</f>
        <v/>
      </c>
    </row>
    <row r="69" spans="1:6" x14ac:dyDescent="0.35">
      <c r="A69" s="24"/>
      <c r="B69" s="10">
        <f>Transactions!B69</f>
        <v>0</v>
      </c>
      <c r="C69" s="10">
        <f>Transactions!C69</f>
        <v>0</v>
      </c>
      <c r="D69" s="10">
        <f>Transactions!D69</f>
        <v>0</v>
      </c>
      <c r="E69" s="10">
        <f>Transactions!E69</f>
        <v>0</v>
      </c>
      <c r="F69" s="8" t="str">
        <f>IF(OR($A63="",$C63=""),"",IF($C63=$C62,F62+IF(VLOOKUP($C63,Chart_of_Accounts!$B:$D,3,0)="Debit",D63-E63,E63-D63),IF(VLOOKUP($C63,Chart_of_Accounts!$B:$D,3,0)="Debit",D63-E63,E63-D63)))</f>
        <v/>
      </c>
    </row>
    <row r="70" spans="1:6" x14ac:dyDescent="0.35">
      <c r="A70" s="24"/>
      <c r="B70" s="8">
        <f>Transactions!B70</f>
        <v>0</v>
      </c>
      <c r="C70" s="8">
        <f>Transactions!C70</f>
        <v>0</v>
      </c>
      <c r="D70" s="8">
        <f>Transactions!D70</f>
        <v>0</v>
      </c>
      <c r="E70" s="8">
        <f>Transactions!E70</f>
        <v>0</v>
      </c>
      <c r="F70" s="8" t="str">
        <f>IF(OR($A64="",$C64=""),"",IF($C64=$C63,F63+IF(VLOOKUP($C64,Chart_of_Accounts!$B:$D,3,0)="Debit",D64-E64,E64-D64),IF(VLOOKUP($C64,Chart_of_Accounts!$B:$D,3,0)="Debit",D64-E64,E64-D64)))</f>
        <v/>
      </c>
    </row>
    <row r="71" spans="1:6" x14ac:dyDescent="0.35">
      <c r="A71" s="24"/>
      <c r="B71" s="10">
        <f>Transactions!B71</f>
        <v>0</v>
      </c>
      <c r="C71" s="10">
        <f>Transactions!C71</f>
        <v>0</v>
      </c>
      <c r="D71" s="10">
        <f>Transactions!D71</f>
        <v>0</v>
      </c>
      <c r="E71" s="10">
        <f>Transactions!E71</f>
        <v>0</v>
      </c>
      <c r="F71" s="8" t="str">
        <f>IF(OR($A65="",$C65=""),"",IF($C65=$C64,F64+IF(VLOOKUP($C65,Chart_of_Accounts!$B:$D,3,0)="Debit",D65-E65,E65-D65),IF(VLOOKUP($C65,Chart_of_Accounts!$B:$D,3,0)="Debit",D65-E65,E65-D65)))</f>
        <v/>
      </c>
    </row>
    <row r="72" spans="1:6" x14ac:dyDescent="0.35">
      <c r="A72" s="24"/>
      <c r="B72" s="8">
        <f>Transactions!B72</f>
        <v>0</v>
      </c>
      <c r="C72" s="8">
        <f>Transactions!C72</f>
        <v>0</v>
      </c>
      <c r="D72" s="8">
        <f>Transactions!D72</f>
        <v>0</v>
      </c>
      <c r="E72" s="8">
        <f>Transactions!E72</f>
        <v>0</v>
      </c>
      <c r="F72" s="8" t="str">
        <f>IF(OR($A66="",$C66=""),"",IF($C66=$C65,F65+IF(VLOOKUP($C66,Chart_of_Accounts!$B:$D,3,0)="Debit",D66-E66,E66-D66),IF(VLOOKUP($C66,Chart_of_Accounts!$B:$D,3,0)="Debit",D66-E66,E66-D66)))</f>
        <v/>
      </c>
    </row>
    <row r="73" spans="1:6" x14ac:dyDescent="0.35">
      <c r="A73" s="24"/>
      <c r="B73" s="10">
        <f>Transactions!B73</f>
        <v>0</v>
      </c>
      <c r="C73" s="10">
        <f>Transactions!C73</f>
        <v>0</v>
      </c>
      <c r="D73" s="10">
        <f>Transactions!D73</f>
        <v>0</v>
      </c>
      <c r="E73" s="10">
        <f>Transactions!E73</f>
        <v>0</v>
      </c>
      <c r="F73" s="8" t="str">
        <f>IF(OR($A67="",$C67=""),"",IF($C67=$C66,F66+IF(VLOOKUP($C67,Chart_of_Accounts!$B:$D,3,0)="Debit",D67-E67,E67-D67),IF(VLOOKUP($C67,Chart_of_Accounts!$B:$D,3,0)="Debit",D67-E67,E67-D67)))</f>
        <v/>
      </c>
    </row>
    <row r="74" spans="1:6" x14ac:dyDescent="0.35">
      <c r="A74" s="24"/>
      <c r="B74" s="8">
        <f>Transactions!B74</f>
        <v>0</v>
      </c>
      <c r="C74" s="8">
        <f>Transactions!C74</f>
        <v>0</v>
      </c>
      <c r="D74" s="8">
        <f>Transactions!D74</f>
        <v>0</v>
      </c>
      <c r="E74" s="8">
        <f>Transactions!E74</f>
        <v>0</v>
      </c>
      <c r="F74" s="8" t="str">
        <f>IF(OR($A68="",$C68=""),"",IF($C68=$C67,F67+IF(VLOOKUP($C68,Chart_of_Accounts!$B:$D,3,0)="Debit",D68-E68,E68-D68),IF(VLOOKUP($C68,Chart_of_Accounts!$B:$D,3,0)="Debit",D68-E68,E68-D68)))</f>
        <v/>
      </c>
    </row>
    <row r="75" spans="1:6" x14ac:dyDescent="0.35">
      <c r="A75" s="24"/>
      <c r="B75" s="10">
        <f>Transactions!B75</f>
        <v>0</v>
      </c>
      <c r="C75" s="10">
        <f>Transactions!C75</f>
        <v>0</v>
      </c>
      <c r="D75" s="10">
        <f>Transactions!D75</f>
        <v>0</v>
      </c>
      <c r="E75" s="10">
        <f>Transactions!E75</f>
        <v>0</v>
      </c>
      <c r="F75" s="8" t="str">
        <f>IF(OR($A69="",$C69=""),"",IF($C69=$C68,F68+IF(VLOOKUP($C69,Chart_of_Accounts!$B:$D,3,0)="Debit",D69-E69,E69-D69),IF(VLOOKUP($C69,Chart_of_Accounts!$B:$D,3,0)="Debit",D69-E69,E69-D69)))</f>
        <v/>
      </c>
    </row>
    <row r="76" spans="1:6" x14ac:dyDescent="0.35">
      <c r="A76" s="24"/>
      <c r="B76" s="8">
        <f>Transactions!B76</f>
        <v>0</v>
      </c>
      <c r="C76" s="8">
        <f>Transactions!C76</f>
        <v>0</v>
      </c>
      <c r="D76" s="8">
        <f>Transactions!D76</f>
        <v>0</v>
      </c>
      <c r="E76" s="8">
        <f>Transactions!E76</f>
        <v>0</v>
      </c>
      <c r="F76" s="8" t="str">
        <f>IF(OR($A70="",$C70=""),"",IF($C70=$C69,F69+IF(VLOOKUP($C70,Chart_of_Accounts!$B:$D,3,0)="Debit",D70-E70,E70-D70),IF(VLOOKUP($C70,Chart_of_Accounts!$B:$D,3,0)="Debit",D70-E70,E70-D70)))</f>
        <v/>
      </c>
    </row>
    <row r="77" spans="1:6" x14ac:dyDescent="0.35">
      <c r="A77" s="24"/>
      <c r="B77" s="10">
        <f>Transactions!B77</f>
        <v>0</v>
      </c>
      <c r="C77" s="10">
        <f>Transactions!C77</f>
        <v>0</v>
      </c>
      <c r="D77" s="10">
        <f>Transactions!D77</f>
        <v>0</v>
      </c>
      <c r="E77" s="10">
        <f>Transactions!E77</f>
        <v>0</v>
      </c>
      <c r="F77" s="8" t="str">
        <f>IF(OR($A71="",$C71=""),"",IF($C71=$C70,F70+IF(VLOOKUP($C71,Chart_of_Accounts!$B:$D,3,0)="Debit",D71-E71,E71-D71),IF(VLOOKUP($C71,Chart_of_Accounts!$B:$D,3,0)="Debit",D71-E71,E71-D71)))</f>
        <v/>
      </c>
    </row>
    <row r="78" spans="1:6" x14ac:dyDescent="0.35">
      <c r="A78" s="24"/>
      <c r="B78" s="8">
        <f>Transactions!B78</f>
        <v>0</v>
      </c>
      <c r="C78" s="8">
        <f>Transactions!C78</f>
        <v>0</v>
      </c>
      <c r="D78" s="8">
        <f>Transactions!D78</f>
        <v>0</v>
      </c>
      <c r="E78" s="8">
        <f>Transactions!E78</f>
        <v>0</v>
      </c>
      <c r="F78" s="8" t="str">
        <f>IF(OR($A72="",$C72=""),"",IF($C72=$C71,F71+IF(VLOOKUP($C72,Chart_of_Accounts!$B:$D,3,0)="Debit",D72-E72,E72-D72),IF(VLOOKUP($C72,Chart_of_Accounts!$B:$D,3,0)="Debit",D72-E72,E72-D72)))</f>
        <v/>
      </c>
    </row>
    <row r="79" spans="1:6" x14ac:dyDescent="0.35">
      <c r="A79" s="24"/>
      <c r="B79" s="10">
        <f>Transactions!B79</f>
        <v>0</v>
      </c>
      <c r="C79" s="10">
        <f>Transactions!C79</f>
        <v>0</v>
      </c>
      <c r="D79" s="10">
        <f>Transactions!D79</f>
        <v>0</v>
      </c>
      <c r="E79" s="10">
        <f>Transactions!E79</f>
        <v>0</v>
      </c>
      <c r="F79" s="8" t="str">
        <f>IF(OR($A73="",$C73=""),"",IF($C73=$C72,F72+IF(VLOOKUP($C73,Chart_of_Accounts!$B:$D,3,0)="Debit",D73-E73,E73-D73),IF(VLOOKUP($C73,Chart_of_Accounts!$B:$D,3,0)="Debit",D73-E73,E73-D73)))</f>
        <v/>
      </c>
    </row>
    <row r="80" spans="1:6" x14ac:dyDescent="0.35">
      <c r="A80" s="24"/>
      <c r="B80" s="8">
        <f>Transactions!B80</f>
        <v>0</v>
      </c>
      <c r="C80" s="8">
        <f>Transactions!C80</f>
        <v>0</v>
      </c>
      <c r="D80" s="8">
        <f>Transactions!D80</f>
        <v>0</v>
      </c>
      <c r="E80" s="8">
        <f>Transactions!E80</f>
        <v>0</v>
      </c>
      <c r="F80" s="8" t="str">
        <f>IF(OR($A74="",$C74=""),"",IF($C74=$C73,F73+IF(VLOOKUP($C74,Chart_of_Accounts!$B:$D,3,0)="Debit",D74-E74,E74-D74),IF(VLOOKUP($C74,Chart_of_Accounts!$B:$D,3,0)="Debit",D74-E74,E74-D74)))</f>
        <v/>
      </c>
    </row>
    <row r="81" spans="1:6" x14ac:dyDescent="0.35">
      <c r="A81" s="24"/>
      <c r="B81" s="10">
        <f>Transactions!B81</f>
        <v>0</v>
      </c>
      <c r="C81" s="10">
        <f>Transactions!C81</f>
        <v>0</v>
      </c>
      <c r="D81" s="10">
        <f>Transactions!D81</f>
        <v>0</v>
      </c>
      <c r="E81" s="10">
        <f>Transactions!E81</f>
        <v>0</v>
      </c>
      <c r="F81" s="8" t="str">
        <f>IF(OR($A75="",$C75=""),"",IF($C75=$C74,F74+IF(VLOOKUP($C75,Chart_of_Accounts!$B:$D,3,0)="Debit",D75-E75,E75-D75),IF(VLOOKUP($C75,Chart_of_Accounts!$B:$D,3,0)="Debit",D75-E75,E75-D75)))</f>
        <v/>
      </c>
    </row>
    <row r="82" spans="1:6" x14ac:dyDescent="0.35">
      <c r="A82" s="24"/>
      <c r="B82" s="8">
        <f>Transactions!B82</f>
        <v>0</v>
      </c>
      <c r="C82" s="8">
        <f>Transactions!C82</f>
        <v>0</v>
      </c>
      <c r="D82" s="8">
        <f>Transactions!D82</f>
        <v>0</v>
      </c>
      <c r="E82" s="8">
        <f>Transactions!E82</f>
        <v>0</v>
      </c>
      <c r="F82" s="8" t="str">
        <f>IF(OR($A76="",$C76=""),"",IF($C76=$C75,F75+IF(VLOOKUP($C76,Chart_of_Accounts!$B:$D,3,0)="Debit",D76-E76,E76-D76),IF(VLOOKUP($C76,Chart_of_Accounts!$B:$D,3,0)="Debit",D76-E76,E76-D76)))</f>
        <v/>
      </c>
    </row>
    <row r="83" spans="1:6" x14ac:dyDescent="0.35">
      <c r="A83" s="24"/>
      <c r="B83" s="10">
        <f>Transactions!B83</f>
        <v>0</v>
      </c>
      <c r="C83" s="10">
        <f>Transactions!C83</f>
        <v>0</v>
      </c>
      <c r="D83" s="10">
        <f>Transactions!D83</f>
        <v>0</v>
      </c>
      <c r="E83" s="10">
        <f>Transactions!E83</f>
        <v>0</v>
      </c>
      <c r="F83" s="8" t="str">
        <f>IF(OR($A77="",$C77=""),"",IF($C77=$C76,F76+IF(VLOOKUP($C77,Chart_of_Accounts!$B:$D,3,0)="Debit",D77-E77,E77-D77),IF(VLOOKUP($C77,Chart_of_Accounts!$B:$D,3,0)="Debit",D77-E77,E77-D77)))</f>
        <v/>
      </c>
    </row>
    <row r="84" spans="1:6" x14ac:dyDescent="0.35">
      <c r="A84" s="24"/>
      <c r="B84" s="8">
        <f>Transactions!B84</f>
        <v>0</v>
      </c>
      <c r="C84" s="8">
        <f>Transactions!C84</f>
        <v>0</v>
      </c>
      <c r="D84" s="8">
        <f>Transactions!D84</f>
        <v>0</v>
      </c>
      <c r="E84" s="8">
        <f>Transactions!E84</f>
        <v>0</v>
      </c>
      <c r="F84" s="8" t="str">
        <f>IF(OR($A78="",$C78=""),"",IF($C78=$C77,F77+IF(VLOOKUP($C78,Chart_of_Accounts!$B:$D,3,0)="Debit",D78-E78,E78-D78),IF(VLOOKUP($C78,Chart_of_Accounts!$B:$D,3,0)="Debit",D78-E78,E78-D78)))</f>
        <v/>
      </c>
    </row>
    <row r="85" spans="1:6" x14ac:dyDescent="0.35">
      <c r="A85" s="24"/>
      <c r="B85" s="10">
        <f>Transactions!B85</f>
        <v>0</v>
      </c>
      <c r="C85" s="10">
        <f>Transactions!C85</f>
        <v>0</v>
      </c>
      <c r="D85" s="10">
        <f>Transactions!D85</f>
        <v>0</v>
      </c>
      <c r="E85" s="10">
        <f>Transactions!E85</f>
        <v>0</v>
      </c>
      <c r="F85" s="8" t="str">
        <f>IF(OR($A79="",$C79=""),"",IF($C79=$C78,F78+IF(VLOOKUP($C79,Chart_of_Accounts!$B:$D,3,0)="Debit",D79-E79,E79-D79),IF(VLOOKUP($C79,Chart_of_Accounts!$B:$D,3,0)="Debit",D79-E79,E79-D79)))</f>
        <v/>
      </c>
    </row>
    <row r="86" spans="1:6" x14ac:dyDescent="0.35">
      <c r="A86" s="24"/>
      <c r="B86" s="8">
        <f>Transactions!B86</f>
        <v>0</v>
      </c>
      <c r="C86" s="8">
        <f>Transactions!C86</f>
        <v>0</v>
      </c>
      <c r="D86" s="8">
        <f>Transactions!D86</f>
        <v>0</v>
      </c>
      <c r="E86" s="8">
        <f>Transactions!E86</f>
        <v>0</v>
      </c>
      <c r="F86" s="8" t="str">
        <f>IF(OR($A80="",$C80=""),"",IF($C80=$C79,F79+IF(VLOOKUP($C80,Chart_of_Accounts!$B:$D,3,0)="Debit",D80-E80,E80-D80),IF(VLOOKUP($C80,Chart_of_Accounts!$B:$D,3,0)="Debit",D80-E80,E80-D80)))</f>
        <v/>
      </c>
    </row>
    <row r="87" spans="1:6" x14ac:dyDescent="0.35">
      <c r="A87" s="24"/>
      <c r="B87" s="10">
        <f>Transactions!B87</f>
        <v>0</v>
      </c>
      <c r="C87" s="10">
        <f>Transactions!C87</f>
        <v>0</v>
      </c>
      <c r="D87" s="10">
        <f>Transactions!D87</f>
        <v>0</v>
      </c>
      <c r="E87" s="10">
        <f>Transactions!E87</f>
        <v>0</v>
      </c>
      <c r="F87" s="8" t="str">
        <f>IF(OR($A81="",$C81=""),"",IF($C81=$C80,F80+IF(VLOOKUP($C81,Chart_of_Accounts!$B:$D,3,0)="Debit",D81-E81,E81-D81),IF(VLOOKUP($C81,Chart_of_Accounts!$B:$D,3,0)="Debit",D81-E81,E81-D81)))</f>
        <v/>
      </c>
    </row>
    <row r="88" spans="1:6" x14ac:dyDescent="0.35">
      <c r="A88" s="24"/>
      <c r="B88" s="8">
        <f>Transactions!B88</f>
        <v>0</v>
      </c>
      <c r="C88" s="8">
        <f>Transactions!C88</f>
        <v>0</v>
      </c>
      <c r="D88" s="8">
        <f>Transactions!D88</f>
        <v>0</v>
      </c>
      <c r="E88" s="8">
        <f>Transactions!E88</f>
        <v>0</v>
      </c>
      <c r="F88" s="8" t="str">
        <f>IF(OR($A82="",$C82=""),"",IF($C82=$C81,F81+IF(VLOOKUP($C82,Chart_of_Accounts!$B:$D,3,0)="Debit",D82-E82,E82-D82),IF(VLOOKUP($C82,Chart_of_Accounts!$B:$D,3,0)="Debit",D82-E82,E82-D82)))</f>
        <v/>
      </c>
    </row>
    <row r="89" spans="1:6" x14ac:dyDescent="0.35">
      <c r="A89" s="24"/>
      <c r="B89" s="10">
        <f>Transactions!B89</f>
        <v>0</v>
      </c>
      <c r="C89" s="10">
        <f>Transactions!C89</f>
        <v>0</v>
      </c>
      <c r="D89" s="10">
        <f>Transactions!D89</f>
        <v>0</v>
      </c>
      <c r="E89" s="10">
        <f>Transactions!E89</f>
        <v>0</v>
      </c>
      <c r="F89" s="8" t="str">
        <f>IF(OR($A83="",$C83=""),"",IF($C83=$C82,F82+IF(VLOOKUP($C83,Chart_of_Accounts!$B:$D,3,0)="Debit",D83-E83,E83-D83),IF(VLOOKUP($C83,Chart_of_Accounts!$B:$D,3,0)="Debit",D83-E83,E83-D83)))</f>
        <v/>
      </c>
    </row>
    <row r="90" spans="1:6" x14ac:dyDescent="0.35">
      <c r="A90" s="24"/>
      <c r="B90" s="8">
        <f>Transactions!B90</f>
        <v>0</v>
      </c>
      <c r="C90" s="8">
        <f>Transactions!C90</f>
        <v>0</v>
      </c>
      <c r="D90" s="8">
        <f>Transactions!D90</f>
        <v>0</v>
      </c>
      <c r="E90" s="8">
        <f>Transactions!E90</f>
        <v>0</v>
      </c>
      <c r="F90" s="8" t="str">
        <f>IF(OR($A84="",$C84=""),"",IF($C84=$C83,F83+IF(VLOOKUP($C84,Chart_of_Accounts!$B:$D,3,0)="Debit",D84-E84,E84-D84),IF(VLOOKUP($C84,Chart_of_Accounts!$B:$D,3,0)="Debit",D84-E84,E84-D84)))</f>
        <v/>
      </c>
    </row>
    <row r="91" spans="1:6" x14ac:dyDescent="0.35">
      <c r="A91" s="24"/>
      <c r="B91" s="10">
        <f>Transactions!B91</f>
        <v>0</v>
      </c>
      <c r="C91" s="10">
        <f>Transactions!C91</f>
        <v>0</v>
      </c>
      <c r="D91" s="10">
        <f>Transactions!D91</f>
        <v>0</v>
      </c>
      <c r="E91" s="10">
        <f>Transactions!E91</f>
        <v>0</v>
      </c>
      <c r="F91" s="8" t="str">
        <f>IF(OR($A85="",$C85=""),"",IF($C85=$C84,F84+IF(VLOOKUP($C85,Chart_of_Accounts!$B:$D,3,0)="Debit",D85-E85,E85-D85),IF(VLOOKUP($C85,Chart_of_Accounts!$B:$D,3,0)="Debit",D85-E85,E85-D85)))</f>
        <v/>
      </c>
    </row>
    <row r="92" spans="1:6" x14ac:dyDescent="0.35">
      <c r="A92" s="24"/>
      <c r="B92" s="8">
        <f>Transactions!B92</f>
        <v>0</v>
      </c>
      <c r="C92" s="8">
        <f>Transactions!C92</f>
        <v>0</v>
      </c>
      <c r="D92" s="8">
        <f>Transactions!D92</f>
        <v>0</v>
      </c>
      <c r="E92" s="8">
        <f>Transactions!E92</f>
        <v>0</v>
      </c>
      <c r="F92" s="8" t="str">
        <f>IF(OR($A86="",$C86=""),"",IF($C86=$C85,F85+IF(VLOOKUP($C86,Chart_of_Accounts!$B:$D,3,0)="Debit",D86-E86,E86-D86),IF(VLOOKUP($C86,Chart_of_Accounts!$B:$D,3,0)="Debit",D86-E86,E86-D86)))</f>
        <v/>
      </c>
    </row>
    <row r="93" spans="1:6" x14ac:dyDescent="0.35">
      <c r="A93" s="24"/>
      <c r="B93" s="10">
        <f>Transactions!B93</f>
        <v>0</v>
      </c>
      <c r="C93" s="10">
        <f>Transactions!C93</f>
        <v>0</v>
      </c>
      <c r="D93" s="10">
        <f>Transactions!D93</f>
        <v>0</v>
      </c>
      <c r="E93" s="10">
        <f>Transactions!E93</f>
        <v>0</v>
      </c>
      <c r="F93" s="8" t="str">
        <f>IF(OR($A87="",$C87=""),"",IF($C87=$C86,F86+IF(VLOOKUP($C87,Chart_of_Accounts!$B:$D,3,0)="Debit",D87-E87,E87-D87),IF(VLOOKUP($C87,Chart_of_Accounts!$B:$D,3,0)="Debit",D87-E87,E87-D87)))</f>
        <v/>
      </c>
    </row>
    <row r="94" spans="1:6" x14ac:dyDescent="0.35">
      <c r="A94" s="24"/>
      <c r="B94" s="8">
        <f>Transactions!B94</f>
        <v>0</v>
      </c>
      <c r="C94" s="8">
        <f>Transactions!C94</f>
        <v>0</v>
      </c>
      <c r="D94" s="8">
        <f>Transactions!D94</f>
        <v>0</v>
      </c>
      <c r="E94" s="8">
        <f>Transactions!E94</f>
        <v>0</v>
      </c>
      <c r="F94" s="8" t="str">
        <f>IF(OR($A88="",$C88=""),"",IF($C88=$C87,F87+IF(VLOOKUP($C88,Chart_of_Accounts!$B:$D,3,0)="Debit",D88-E88,E88-D88),IF(VLOOKUP($C88,Chart_of_Accounts!$B:$D,3,0)="Debit",D88-E88,E88-D88)))</f>
        <v/>
      </c>
    </row>
    <row r="95" spans="1:6" x14ac:dyDescent="0.35">
      <c r="A95" s="24"/>
      <c r="B95" s="10">
        <f>Transactions!B95</f>
        <v>0</v>
      </c>
      <c r="C95" s="10">
        <f>Transactions!C95</f>
        <v>0</v>
      </c>
      <c r="D95" s="10">
        <f>Transactions!D95</f>
        <v>0</v>
      </c>
      <c r="E95" s="10">
        <f>Transactions!E95</f>
        <v>0</v>
      </c>
      <c r="F95" s="8" t="str">
        <f>IF(OR($A89="",$C89=""),"",IF($C89=$C88,F88+IF(VLOOKUP($C89,Chart_of_Accounts!$B:$D,3,0)="Debit",D89-E89,E89-D89),IF(VLOOKUP($C89,Chart_of_Accounts!$B:$D,3,0)="Debit",D89-E89,E89-D89)))</f>
        <v/>
      </c>
    </row>
    <row r="96" spans="1:6" x14ac:dyDescent="0.35">
      <c r="A96" s="24"/>
      <c r="B96" s="8">
        <f>Transactions!B96</f>
        <v>0</v>
      </c>
      <c r="C96" s="8">
        <f>Transactions!C96</f>
        <v>0</v>
      </c>
      <c r="D96" s="8">
        <f>Transactions!D96</f>
        <v>0</v>
      </c>
      <c r="E96" s="8">
        <f>Transactions!E96</f>
        <v>0</v>
      </c>
      <c r="F96" s="8" t="str">
        <f>IF(OR($A90="",$C90=""),"",IF($C90=$C89,F89+IF(VLOOKUP($C90,Chart_of_Accounts!$B:$D,3,0)="Debit",D90-E90,E90-D90),IF(VLOOKUP($C90,Chart_of_Accounts!$B:$D,3,0)="Debit",D90-E90,E90-D90)))</f>
        <v/>
      </c>
    </row>
    <row r="97" spans="1:6" x14ac:dyDescent="0.35">
      <c r="A97" s="24"/>
      <c r="B97" s="10">
        <f>Transactions!B97</f>
        <v>0</v>
      </c>
      <c r="C97" s="10">
        <f>Transactions!C97</f>
        <v>0</v>
      </c>
      <c r="D97" s="10">
        <f>Transactions!D97</f>
        <v>0</v>
      </c>
      <c r="E97" s="10">
        <f>Transactions!E97</f>
        <v>0</v>
      </c>
      <c r="F97" s="8" t="str">
        <f>IF(OR($A91="",$C91=""),"",IF($C91=$C90,F90+IF(VLOOKUP($C91,Chart_of_Accounts!$B:$D,3,0)="Debit",D91-E91,E91-D91),IF(VLOOKUP($C91,Chart_of_Accounts!$B:$D,3,0)="Debit",D91-E91,E91-D91)))</f>
        <v/>
      </c>
    </row>
    <row r="98" spans="1:6" x14ac:dyDescent="0.35">
      <c r="A98" s="24"/>
      <c r="B98" s="8">
        <f>Transactions!B98</f>
        <v>0</v>
      </c>
      <c r="C98" s="8">
        <f>Transactions!C98</f>
        <v>0</v>
      </c>
      <c r="D98" s="8">
        <f>Transactions!D98</f>
        <v>0</v>
      </c>
      <c r="E98" s="8">
        <f>Transactions!E98</f>
        <v>0</v>
      </c>
      <c r="F98" s="8" t="str">
        <f>IF(OR($A92="",$C92=""),"",IF($C92=$C91,F91+IF(VLOOKUP($C92,Chart_of_Accounts!$B:$D,3,0)="Debit",D92-E92,E92-D92),IF(VLOOKUP($C92,Chart_of_Accounts!$B:$D,3,0)="Debit",D92-E92,E92-D92)))</f>
        <v/>
      </c>
    </row>
    <row r="99" spans="1:6" x14ac:dyDescent="0.35">
      <c r="A99" s="24"/>
      <c r="B99" s="10">
        <f>Transactions!B99</f>
        <v>0</v>
      </c>
      <c r="C99" s="10">
        <f>Transactions!C99</f>
        <v>0</v>
      </c>
      <c r="D99" s="10">
        <f>Transactions!D99</f>
        <v>0</v>
      </c>
      <c r="E99" s="10">
        <f>Transactions!E99</f>
        <v>0</v>
      </c>
      <c r="F99" s="8" t="str">
        <f>IF(OR($A93="",$C93=""),"",IF($C93=$C92,F92+IF(VLOOKUP($C93,Chart_of_Accounts!$B:$D,3,0)="Debit",D93-E93,E93-D93),IF(VLOOKUP($C93,Chart_of_Accounts!$B:$D,3,0)="Debit",D93-E93,E93-D93)))</f>
        <v/>
      </c>
    </row>
    <row r="100" spans="1:6" x14ac:dyDescent="0.35">
      <c r="A100" s="24"/>
      <c r="B100" s="8">
        <f>Transactions!B100</f>
        <v>0</v>
      </c>
      <c r="C100" s="8">
        <f>Transactions!C100</f>
        <v>0</v>
      </c>
      <c r="D100" s="8">
        <f>Transactions!D100</f>
        <v>0</v>
      </c>
      <c r="E100" s="8">
        <f>Transactions!E100</f>
        <v>0</v>
      </c>
      <c r="F100" s="8" t="str">
        <f>IF(OR($A94="",$C94=""),"",IF($C94=$C93,F93+IF(VLOOKUP($C94,Chart_of_Accounts!$B:$D,3,0)="Debit",D94-E94,E94-D94),IF(VLOOKUP($C94,Chart_of_Accounts!$B:$D,3,0)="Debit",D94-E94,E94-D94)))</f>
        <v/>
      </c>
    </row>
    <row r="101" spans="1:6" x14ac:dyDescent="0.35">
      <c r="A101" s="24"/>
      <c r="B101" s="10">
        <f>Transactions!B101</f>
        <v>0</v>
      </c>
      <c r="C101" s="10">
        <f>Transactions!C101</f>
        <v>0</v>
      </c>
      <c r="D101" s="10">
        <f>Transactions!D101</f>
        <v>0</v>
      </c>
      <c r="E101" s="10">
        <f>Transactions!E101</f>
        <v>0</v>
      </c>
      <c r="F101" s="8" t="str">
        <f>IF(OR($A95="",$C95=""),"",IF($C95=$C94,F94+IF(VLOOKUP($C95,Chart_of_Accounts!$B:$D,3,0)="Debit",D95-E95,E95-D95),IF(VLOOKUP($C95,Chart_of_Accounts!$B:$D,3,0)="Debit",D95-E95,E95-D95)))</f>
        <v/>
      </c>
    </row>
    <row r="102" spans="1:6" x14ac:dyDescent="0.35">
      <c r="A102" s="24"/>
      <c r="B102" s="8">
        <f>Transactions!B102</f>
        <v>0</v>
      </c>
      <c r="C102" s="8">
        <f>Transactions!C102</f>
        <v>0</v>
      </c>
      <c r="D102" s="8">
        <f>Transactions!D102</f>
        <v>0</v>
      </c>
      <c r="E102" s="8">
        <f>Transactions!E102</f>
        <v>0</v>
      </c>
      <c r="F102" s="8" t="str">
        <f>IF(OR($A96="",$C96=""),"",IF($C96=$C95,F95+IF(VLOOKUP($C96,Chart_of_Accounts!$B:$D,3,0)="Debit",D96-E96,E96-D96),IF(VLOOKUP($C96,Chart_of_Accounts!$B:$D,3,0)="Debit",D96-E96,E96-D96)))</f>
        <v/>
      </c>
    </row>
    <row r="103" spans="1:6" x14ac:dyDescent="0.35">
      <c r="A103" s="24"/>
      <c r="B103" s="10">
        <f>Transactions!B103</f>
        <v>0</v>
      </c>
      <c r="C103" s="10">
        <f>Transactions!C103</f>
        <v>0</v>
      </c>
      <c r="D103" s="10">
        <f>Transactions!D103</f>
        <v>0</v>
      </c>
      <c r="E103" s="10">
        <f>Transactions!E103</f>
        <v>0</v>
      </c>
      <c r="F103" s="8" t="str">
        <f>IF(OR($A97="",$C97=""),"",IF($C97=$C96,F96+IF(VLOOKUP($C97,Chart_of_Accounts!$B:$D,3,0)="Debit",D97-E97,E97-D97),IF(VLOOKUP($C97,Chart_of_Accounts!$B:$D,3,0)="Debit",D97-E97,E97-D97)))</f>
        <v/>
      </c>
    </row>
    <row r="104" spans="1:6" x14ac:dyDescent="0.35">
      <c r="A104" s="24"/>
      <c r="B104" s="8">
        <f>Transactions!B104</f>
        <v>0</v>
      </c>
      <c r="C104" s="8">
        <f>Transactions!C104</f>
        <v>0</v>
      </c>
      <c r="D104" s="8">
        <f>Transactions!D104</f>
        <v>0</v>
      </c>
      <c r="E104" s="8">
        <f>Transactions!E104</f>
        <v>0</v>
      </c>
      <c r="F104" s="8" t="str">
        <f>IF(OR($A98="",$C98=""),"",IF($C98=$C97,F97+IF(VLOOKUP($C98,Chart_of_Accounts!$B:$D,3,0)="Debit",D98-E98,E98-D98),IF(VLOOKUP($C98,Chart_of_Accounts!$B:$D,3,0)="Debit",D98-E98,E98-D98)))</f>
        <v/>
      </c>
    </row>
    <row r="105" spans="1:6" x14ac:dyDescent="0.35">
      <c r="A105" s="10"/>
      <c r="B105" s="10"/>
      <c r="C105" s="10"/>
      <c r="D105" s="10"/>
      <c r="E105" s="10"/>
      <c r="F105" s="10"/>
    </row>
  </sheetData>
  <autoFilter ref="A3:F23" xr:uid="{00000000-0009-0000-0000-000002000000}"/>
  <mergeCells count="2">
    <mergeCell ref="A2:F2"/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/>
  </sheetPr>
  <dimension ref="A1:C23"/>
  <sheetViews>
    <sheetView workbookViewId="0">
      <pane ySplit="3" topLeftCell="A9" activePane="bottomLeft" state="frozen"/>
      <selection pane="bottomLeft" activeCell="C22" sqref="C22"/>
    </sheetView>
  </sheetViews>
  <sheetFormatPr defaultRowHeight="14.5" x14ac:dyDescent="0.35"/>
  <cols>
    <col min="1" max="1" width="35" bestFit="1" customWidth="1"/>
    <col min="2" max="3" width="18" bestFit="1" customWidth="1"/>
  </cols>
  <sheetData>
    <row r="1" spans="1:3" ht="24" customHeight="1" x14ac:dyDescent="0.35">
      <c r="A1" s="29" t="s">
        <v>0</v>
      </c>
      <c r="B1" s="30"/>
      <c r="C1" s="31"/>
    </row>
    <row r="2" spans="1:3" ht="20" customHeight="1" x14ac:dyDescent="0.35">
      <c r="A2" s="32" t="s">
        <v>36</v>
      </c>
      <c r="B2" s="30"/>
      <c r="C2" s="31"/>
    </row>
    <row r="3" spans="1:3" x14ac:dyDescent="0.35">
      <c r="A3" s="6" t="s">
        <v>4</v>
      </c>
      <c r="B3" s="6" t="s">
        <v>37</v>
      </c>
      <c r="C3" s="6" t="s">
        <v>38</v>
      </c>
    </row>
    <row r="4" spans="1:3" x14ac:dyDescent="0.35">
      <c r="A4" s="8" t="str">
        <f>Chart_of_Accounts!B4</f>
        <v>Cash</v>
      </c>
      <c r="B4" s="7">
        <f>SUMIF(Transactions!$C:$C,A4,Transactions!$D:$D)</f>
        <v>0</v>
      </c>
      <c r="C4" s="7">
        <f>SUMIF(Transactions!$C:$C,A4,Transactions!$E:$E)</f>
        <v>0</v>
      </c>
    </row>
    <row r="5" spans="1:3" x14ac:dyDescent="0.35">
      <c r="A5" s="8" t="str">
        <f>Chart_of_Accounts!B5</f>
        <v>Bank</v>
      </c>
      <c r="B5" s="9">
        <f>SUMIF(Transactions!$C:$C,A5,Transactions!$D:$D)</f>
        <v>0</v>
      </c>
      <c r="C5" s="9">
        <f>SUMIF(Transactions!$C:$C,A5,Transactions!$E:$E)</f>
        <v>0</v>
      </c>
    </row>
    <row r="6" spans="1:3" x14ac:dyDescent="0.35">
      <c r="A6" s="8" t="str">
        <f>Chart_of_Accounts!B6</f>
        <v>Accounts Receivable</v>
      </c>
      <c r="B6" s="7">
        <f>SUMIF(Transactions!$C:$C,A6,Transactions!$D:$D)</f>
        <v>0</v>
      </c>
      <c r="C6" s="7">
        <f>SUMIF(Transactions!$C:$C,A6,Transactions!$E:$E)</f>
        <v>0</v>
      </c>
    </row>
    <row r="7" spans="1:3" x14ac:dyDescent="0.35">
      <c r="A7" s="8" t="str">
        <f>Chart_of_Accounts!B7</f>
        <v>Inventory</v>
      </c>
      <c r="B7" s="9">
        <f>SUMIF(Transactions!$C:$C,A7,Transactions!$D:$D)</f>
        <v>0</v>
      </c>
      <c r="C7" s="9">
        <f>SUMIF(Transactions!$C:$C,A7,Transactions!$E:$E)</f>
        <v>0</v>
      </c>
    </row>
    <row r="8" spans="1:3" x14ac:dyDescent="0.35">
      <c r="A8" s="8" t="str">
        <f>Chart_of_Accounts!B8</f>
        <v>Equipment</v>
      </c>
      <c r="B8" s="7">
        <f>SUMIF(Transactions!$C:$C,A8,Transactions!$D:$D)</f>
        <v>0</v>
      </c>
      <c r="C8" s="7">
        <f>SUMIF(Transactions!$C:$C,A8,Transactions!$E:$E)</f>
        <v>0</v>
      </c>
    </row>
    <row r="9" spans="1:3" x14ac:dyDescent="0.35">
      <c r="A9" s="8" t="str">
        <f>Chart_of_Accounts!B9</f>
        <v>Land</v>
      </c>
      <c r="B9" s="9">
        <f>SUMIF(Transactions!$C:$C,A9,Transactions!$D:$D)</f>
        <v>0</v>
      </c>
      <c r="C9" s="9">
        <f>SUMIF(Transactions!$C:$C,A9,Transactions!$E:$E)</f>
        <v>0</v>
      </c>
    </row>
    <row r="10" spans="1:3" x14ac:dyDescent="0.35">
      <c r="A10" s="8" t="str">
        <f>Chart_of_Accounts!B10</f>
        <v>Buildings</v>
      </c>
      <c r="B10" s="7">
        <f>SUMIF(Transactions!$C:$C,A10,Transactions!$D:$D)</f>
        <v>0</v>
      </c>
      <c r="C10" s="7">
        <f>SUMIF(Transactions!$C:$C,A10,Transactions!$E:$E)</f>
        <v>0</v>
      </c>
    </row>
    <row r="11" spans="1:3" x14ac:dyDescent="0.35">
      <c r="A11" s="8" t="str">
        <f>Chart_of_Accounts!B11</f>
        <v>Machinery</v>
      </c>
      <c r="B11" s="9">
        <f>SUMIF(Transactions!$C:$C,A11,Transactions!$D:$D)</f>
        <v>0</v>
      </c>
      <c r="C11" s="9">
        <f>SUMIF(Transactions!$C:$C,A11,Transactions!$E:$E)</f>
        <v>0</v>
      </c>
    </row>
    <row r="12" spans="1:3" x14ac:dyDescent="0.35">
      <c r="A12" s="8" t="str">
        <f>Chart_of_Accounts!B12</f>
        <v>Accounts Payable</v>
      </c>
      <c r="B12" s="7">
        <f>SUMIF(Transactions!$C:$C,A12,Transactions!$D:$D)</f>
        <v>0</v>
      </c>
      <c r="C12" s="7">
        <f>SUMIF(Transactions!$C:$C,A12,Transactions!$E:$E)</f>
        <v>0</v>
      </c>
    </row>
    <row r="13" spans="1:3" ht="16" customHeight="1" x14ac:dyDescent="0.35">
      <c r="A13" s="8" t="str">
        <f>Chart_of_Accounts!B13</f>
        <v>Notes Payable</v>
      </c>
      <c r="B13" s="9">
        <f>SUMIF(Transactions!$C:$C,A13,Transactions!$D:$D)</f>
        <v>0</v>
      </c>
      <c r="C13" s="9">
        <f>SUMIF(Transactions!$C:$C,A13,Transactions!$E:$E)</f>
        <v>0</v>
      </c>
    </row>
    <row r="14" spans="1:3" x14ac:dyDescent="0.35">
      <c r="A14" s="8" t="str">
        <f>Chart_of_Accounts!B14</f>
        <v>Capital</v>
      </c>
      <c r="B14" s="7">
        <f>SUMIF(Transactions!$C:$C,A14,Transactions!$D:$D)</f>
        <v>0</v>
      </c>
      <c r="C14" s="7">
        <f>SUMIF(Transactions!$C:$C,A14,Transactions!$E:$E)</f>
        <v>0</v>
      </c>
    </row>
    <row r="15" spans="1:3" x14ac:dyDescent="0.35">
      <c r="A15" s="8" t="str">
        <f>Chart_of_Accounts!B15</f>
        <v>Retained Earnings</v>
      </c>
      <c r="B15" s="9">
        <f>SUMIF(Transactions!$C:$C,A15,Transactions!$D:$D)</f>
        <v>0</v>
      </c>
      <c r="C15" s="9">
        <f>SUMIF(Transactions!$C:$C,A15,Transactions!$E:$E)</f>
        <v>0</v>
      </c>
    </row>
    <row r="16" spans="1:3" x14ac:dyDescent="0.35">
      <c r="A16" s="8" t="str">
        <f>Chart_of_Accounts!B16</f>
        <v>Sales Revenue</v>
      </c>
      <c r="B16" s="7">
        <f>SUMIF(Transactions!$C:$C,A16,Transactions!$D:$D)</f>
        <v>0</v>
      </c>
      <c r="C16" s="7">
        <f>SUMIF(Transactions!$C:$C,A16,Transactions!$E:$E)</f>
        <v>0</v>
      </c>
    </row>
    <row r="17" spans="1:3" x14ac:dyDescent="0.35">
      <c r="A17" s="8" t="str">
        <f>Chart_of_Accounts!B17</f>
        <v>Service Revenue</v>
      </c>
      <c r="B17" s="9">
        <f>SUMIF(Transactions!$C:$C,A17,Transactions!$D:$D)</f>
        <v>0</v>
      </c>
      <c r="C17" s="9">
        <f>SUMIF(Transactions!$C:$C,A17,Transactions!$E:$E)</f>
        <v>0</v>
      </c>
    </row>
    <row r="18" spans="1:3" x14ac:dyDescent="0.35">
      <c r="A18" s="8" t="str">
        <f>Chart_of_Accounts!B18</f>
        <v>Rent Expense</v>
      </c>
      <c r="B18" s="7">
        <f>SUMIF(Transactions!$C:$C,A18,Transactions!$D:$D)</f>
        <v>0</v>
      </c>
      <c r="C18" s="7">
        <f>SUMIF(Transactions!$C:$C,A18,Transactions!$E:$E)</f>
        <v>0</v>
      </c>
    </row>
    <row r="19" spans="1:3" x14ac:dyDescent="0.35">
      <c r="A19" s="8" t="str">
        <f>Chart_of_Accounts!B19</f>
        <v>Utilities Expense</v>
      </c>
      <c r="B19" s="7">
        <f>SUMIF(Transactions!$C:$C,A19,Transactions!$D:$D)</f>
        <v>0</v>
      </c>
      <c r="C19" s="7">
        <f>SUMIF(Transactions!$C:$C,A19,Transactions!$E:$E)</f>
        <v>0</v>
      </c>
    </row>
    <row r="20" spans="1:3" x14ac:dyDescent="0.35">
      <c r="A20" s="8" t="str">
        <f>Chart_of_Accounts!B20</f>
        <v>Salaries Expense</v>
      </c>
      <c r="B20" s="7">
        <f>SUMIF(Transactions!$C:$C,A20,Transactions!$D:$D)</f>
        <v>0</v>
      </c>
      <c r="C20" s="7">
        <f>SUMIF(Transactions!$C:$C,A20,Transactions!$E:$E)</f>
        <v>0</v>
      </c>
    </row>
    <row r="21" spans="1:3" x14ac:dyDescent="0.35">
      <c r="A21" s="8" t="str">
        <f>Chart_of_Accounts!B21</f>
        <v>Supplies Expense</v>
      </c>
      <c r="B21" s="7">
        <f>SUMIF(Transactions!$C:$C,A21,Transactions!$D:$D)</f>
        <v>0</v>
      </c>
      <c r="C21" s="7">
        <f>SUMIF(Transactions!$C:$C,A21,Transactions!$E:$E)</f>
        <v>0</v>
      </c>
    </row>
    <row r="22" spans="1:3" x14ac:dyDescent="0.35">
      <c r="A22" s="5" t="s">
        <v>39</v>
      </c>
      <c r="B22" s="54">
        <f>SUM(B4:B18)</f>
        <v>0</v>
      </c>
      <c r="C22" s="54">
        <f>SUM(C4:C18)</f>
        <v>0</v>
      </c>
    </row>
    <row r="23" spans="1:3" x14ac:dyDescent="0.35">
      <c r="A23" s="27" t="s">
        <v>64</v>
      </c>
      <c r="B23" s="28" t="str">
        <f>IF(B22=C22,"Balanced","Not Balanced")</f>
        <v>Balanced</v>
      </c>
    </row>
  </sheetData>
  <autoFilter ref="A3:C18" xr:uid="{00000000-0009-0000-0000-000003000000}"/>
  <mergeCells count="2">
    <mergeCell ref="A1:C1"/>
    <mergeCell ref="A2:C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-0.249977111117893"/>
  </sheetPr>
  <dimension ref="A1:E20"/>
  <sheetViews>
    <sheetView workbookViewId="0">
      <pane ySplit="3" topLeftCell="A4" activePane="bottomLeft" state="frozen"/>
      <selection pane="bottomLeft" activeCell="A16" sqref="A16"/>
    </sheetView>
  </sheetViews>
  <sheetFormatPr defaultRowHeight="14.5" x14ac:dyDescent="0.35"/>
  <cols>
    <col min="1" max="1" width="30" customWidth="1"/>
    <col min="2" max="4" width="15" customWidth="1"/>
    <col min="5" max="5" width="18" customWidth="1"/>
  </cols>
  <sheetData>
    <row r="1" spans="1:5" ht="24" customHeight="1" x14ac:dyDescent="0.35">
      <c r="A1" s="29" t="s">
        <v>0</v>
      </c>
      <c r="B1" s="30"/>
      <c r="C1" s="30"/>
      <c r="D1" s="30"/>
      <c r="E1" s="31"/>
    </row>
    <row r="2" spans="1:5" ht="20" customHeight="1" x14ac:dyDescent="0.35">
      <c r="A2" s="32" t="s">
        <v>40</v>
      </c>
      <c r="B2" s="30"/>
      <c r="C2" s="30"/>
      <c r="D2" s="30"/>
      <c r="E2" s="31"/>
    </row>
    <row r="3" spans="1:5" x14ac:dyDescent="0.35">
      <c r="A3" s="6" t="s">
        <v>65</v>
      </c>
      <c r="B3" s="6" t="s">
        <v>69</v>
      </c>
      <c r="C3" s="6" t="s">
        <v>70</v>
      </c>
      <c r="D3" s="6"/>
      <c r="E3" s="6"/>
    </row>
    <row r="4" spans="1:5" x14ac:dyDescent="0.35">
      <c r="A4" s="42"/>
      <c r="B4" s="8" t="s">
        <v>71</v>
      </c>
      <c r="C4" s="7" t="s">
        <v>71</v>
      </c>
      <c r="D4" s="7"/>
      <c r="E4" s="7"/>
    </row>
    <row r="5" spans="1:5" x14ac:dyDescent="0.35">
      <c r="A5" s="8" t="s">
        <v>31</v>
      </c>
      <c r="B5" s="43">
        <f>SUMIF(Transactions!$C:$C,A5,Transactions!$D:$D)</f>
        <v>0</v>
      </c>
      <c r="C5" s="43">
        <f>SUMIF(Transactions!$C:$C,A5,Transactions!$E:$E)</f>
        <v>0</v>
      </c>
      <c r="D5" s="9"/>
      <c r="E5" s="9"/>
    </row>
    <row r="6" spans="1:5" x14ac:dyDescent="0.35">
      <c r="A6" s="10" t="s">
        <v>13</v>
      </c>
      <c r="B6" s="43">
        <f>SUMIF(Transactions!$C:$C,A6,Transactions!$D:$D)</f>
        <v>0</v>
      </c>
      <c r="C6" s="43">
        <f>SUMIF(Transactions!$C:$C,A6,Transactions!$E:$E)</f>
        <v>0</v>
      </c>
      <c r="D6" s="7"/>
      <c r="E6" s="7"/>
    </row>
    <row r="7" spans="1:5" x14ac:dyDescent="0.35">
      <c r="A7" s="40" t="s">
        <v>66</v>
      </c>
      <c r="B7" s="43"/>
      <c r="C7" s="43">
        <f>SUM(C5:C6)</f>
        <v>0</v>
      </c>
      <c r="D7" s="9"/>
      <c r="E7" s="9"/>
    </row>
    <row r="8" spans="1:5" x14ac:dyDescent="0.35">
      <c r="A8" s="10"/>
      <c r="B8" s="8"/>
      <c r="C8" s="7"/>
      <c r="D8" s="7"/>
      <c r="E8" s="7"/>
    </row>
    <row r="9" spans="1:5" x14ac:dyDescent="0.35">
      <c r="A9" s="40" t="s">
        <v>67</v>
      </c>
      <c r="B9" s="10"/>
      <c r="C9" s="9"/>
      <c r="D9" s="9"/>
      <c r="E9" s="9"/>
    </row>
    <row r="10" spans="1:5" x14ac:dyDescent="0.35">
      <c r="A10" s="10" t="s">
        <v>12</v>
      </c>
      <c r="B10" s="43">
        <f>SUMIF(Transactions!$C:$C,A10,Transactions!$D:$D)</f>
        <v>0</v>
      </c>
      <c r="C10" s="43">
        <f>SUMIF(Transactions!$C:$C,A10,Transactions!$E:$E)</f>
        <v>0</v>
      </c>
      <c r="D10" s="7"/>
      <c r="E10" s="7"/>
    </row>
    <row r="11" spans="1:5" x14ac:dyDescent="0.35">
      <c r="A11" s="8" t="s">
        <v>14</v>
      </c>
      <c r="B11" s="43">
        <f>SUMIF(Transactions!$C:$C,A11,Transactions!$D:$D)</f>
        <v>0</v>
      </c>
      <c r="C11" s="43">
        <f>SUMIF(Transactions!$C:$C,A11,Transactions!$E:$E)</f>
        <v>0</v>
      </c>
      <c r="D11" s="9"/>
      <c r="E11" s="9"/>
    </row>
    <row r="12" spans="1:5" x14ac:dyDescent="0.35">
      <c r="A12" s="10" t="s">
        <v>16</v>
      </c>
      <c r="B12" s="43">
        <f>SUMIF(Transactions!$C:$C,A12,Transactions!$D:$D)</f>
        <v>0</v>
      </c>
      <c r="C12" s="43">
        <f>SUMIF(Transactions!$C:$C,A12,Transactions!$E:$E)</f>
        <v>0</v>
      </c>
      <c r="D12" s="7"/>
      <c r="E12" s="7"/>
    </row>
    <row r="13" spans="1:5" x14ac:dyDescent="0.35">
      <c r="A13" s="8" t="s">
        <v>17</v>
      </c>
      <c r="B13" s="43">
        <f>SUMIF(Transactions!$C:$C,A13,Transactions!$D:$D)</f>
        <v>0</v>
      </c>
      <c r="C13" s="43">
        <f>SUMIF(Transactions!$C:$C,A13,Transactions!$E:$E)</f>
        <v>0</v>
      </c>
      <c r="D13" s="9"/>
      <c r="E13" s="9"/>
    </row>
    <row r="14" spans="1:5" x14ac:dyDescent="0.35">
      <c r="A14" s="41" t="s">
        <v>68</v>
      </c>
      <c r="B14" s="44">
        <f>SUM(B10:B13)</f>
        <v>0</v>
      </c>
      <c r="C14" s="7"/>
      <c r="D14" s="7"/>
      <c r="E14" s="7"/>
    </row>
    <row r="15" spans="1:5" x14ac:dyDescent="0.35">
      <c r="A15" s="8"/>
      <c r="B15" s="10"/>
      <c r="C15" s="9"/>
      <c r="D15" s="9"/>
      <c r="E15" s="9"/>
    </row>
    <row r="16" spans="1:5" x14ac:dyDescent="0.35">
      <c r="A16" s="41" t="s">
        <v>41</v>
      </c>
      <c r="B16" s="8"/>
      <c r="C16" s="43">
        <f>C7-B14</f>
        <v>0</v>
      </c>
      <c r="D16" s="7"/>
      <c r="E16" s="7"/>
    </row>
    <row r="17" spans="1:5" x14ac:dyDescent="0.35">
      <c r="A17" s="8"/>
      <c r="B17" s="10"/>
      <c r="C17" s="9"/>
      <c r="D17" s="9"/>
      <c r="E17" s="9"/>
    </row>
    <row r="18" spans="1:5" x14ac:dyDescent="0.35">
      <c r="A18" s="10"/>
      <c r="B18" s="8"/>
      <c r="C18" s="7"/>
      <c r="D18" s="7"/>
      <c r="E18" s="7"/>
    </row>
    <row r="19" spans="1:5" x14ac:dyDescent="0.35">
      <c r="A19" s="8"/>
      <c r="C19" s="4"/>
      <c r="D19" s="4"/>
      <c r="E19" s="4"/>
    </row>
    <row r="20" spans="1:5" x14ac:dyDescent="0.35">
      <c r="A20" s="5"/>
      <c r="C20" s="4"/>
      <c r="D20" s="4"/>
      <c r="E20" s="4"/>
    </row>
  </sheetData>
  <mergeCells count="2">
    <mergeCell ref="A2:E2"/>
    <mergeCell ref="A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/>
  </sheetPr>
  <dimension ref="A1:C39"/>
  <sheetViews>
    <sheetView workbookViewId="0">
      <pane ySplit="2" topLeftCell="A25" activePane="bottomLeft" state="frozen"/>
      <selection pane="bottomLeft" activeCell="E35" sqref="E35"/>
    </sheetView>
  </sheetViews>
  <sheetFormatPr defaultRowHeight="14.5" x14ac:dyDescent="0.35"/>
  <cols>
    <col min="1" max="1" width="30" customWidth="1"/>
    <col min="2" max="2" width="15" customWidth="1"/>
    <col min="3" max="3" width="18" customWidth="1"/>
  </cols>
  <sheetData>
    <row r="1" spans="1:3" ht="24" customHeight="1" x14ac:dyDescent="0.35">
      <c r="A1" s="29" t="s">
        <v>0</v>
      </c>
      <c r="B1" s="30"/>
      <c r="C1" s="31"/>
    </row>
    <row r="2" spans="1:3" ht="20" customHeight="1" x14ac:dyDescent="0.35">
      <c r="A2" s="32" t="s">
        <v>79</v>
      </c>
      <c r="B2" s="30"/>
      <c r="C2" s="31"/>
    </row>
    <row r="3" spans="1:3" x14ac:dyDescent="0.35">
      <c r="A3" s="45" t="s">
        <v>72</v>
      </c>
      <c r="B3" s="46"/>
      <c r="C3" s="47"/>
    </row>
    <row r="4" spans="1:3" x14ac:dyDescent="0.35">
      <c r="A4" s="48" t="s">
        <v>80</v>
      </c>
      <c r="B4" s="49"/>
      <c r="C4" s="50"/>
    </row>
    <row r="5" spans="1:3" x14ac:dyDescent="0.35">
      <c r="A5" s="46" t="s">
        <v>26</v>
      </c>
      <c r="B5" s="43">
        <f>SUMIF(Transactions!$C:$C,A5,Transactions!$D:$D)-SUMIF(Transactions!$C:$C,A5,Transactions!$E:$E)</f>
        <v>0</v>
      </c>
      <c r="C5" s="47"/>
    </row>
    <row r="6" spans="1:3" x14ac:dyDescent="0.35">
      <c r="A6" s="49" t="s">
        <v>76</v>
      </c>
      <c r="B6" s="49">
        <f>SUMIF(Transactions!$C:$C,A6,Transactions!$D:$D)-SUMIF(Transactions!$C:$C,A6,Transactions!$E:$E)</f>
        <v>0</v>
      </c>
      <c r="C6" s="50"/>
    </row>
    <row r="7" spans="1:3" x14ac:dyDescent="0.35">
      <c r="A7" s="46" t="s">
        <v>77</v>
      </c>
      <c r="B7" s="46">
        <f>SUMIF(Transactions!$C:$C,A7,Transactions!$D:$D)-SUMIF(Transactions!$C:$C,A7,Transactions!$E:$E)</f>
        <v>0</v>
      </c>
      <c r="C7" s="47"/>
    </row>
    <row r="8" spans="1:3" x14ac:dyDescent="0.35">
      <c r="A8" s="49" t="s">
        <v>78</v>
      </c>
      <c r="B8" s="49">
        <f>SUMIF(Transactions!$C:$C,A8,Transactions!$D:$D)-SUMIF(Transactions!$C:$C,A8,Transactions!$E:$E)</f>
        <v>0</v>
      </c>
      <c r="C8" s="50"/>
    </row>
    <row r="9" spans="1:3" x14ac:dyDescent="0.35">
      <c r="A9" s="45" t="s">
        <v>81</v>
      </c>
      <c r="B9" s="52">
        <f>SUM(B5:B8)</f>
        <v>0</v>
      </c>
      <c r="C9" s="47"/>
    </row>
    <row r="10" spans="1:3" x14ac:dyDescent="0.35">
      <c r="A10" s="49"/>
      <c r="B10" s="49"/>
      <c r="C10" s="50"/>
    </row>
    <row r="11" spans="1:3" x14ac:dyDescent="0.35">
      <c r="A11" s="45" t="s">
        <v>73</v>
      </c>
      <c r="B11" s="46"/>
      <c r="C11" s="47"/>
    </row>
    <row r="12" spans="1:3" x14ac:dyDescent="0.35">
      <c r="A12" s="49" t="s">
        <v>10</v>
      </c>
      <c r="B12" s="49">
        <f>SUMIF(Transactions!$C:$C,A12,Transactions!$D:$D)-SUMIF(Transactions!$C:$C,A12,Transactions!$E:$E)</f>
        <v>0</v>
      </c>
      <c r="C12" s="50"/>
    </row>
    <row r="13" spans="1:3" x14ac:dyDescent="0.35">
      <c r="A13" s="46" t="s">
        <v>24</v>
      </c>
      <c r="B13" s="46">
        <f>SUMIF(Transactions!$C:$C,A13,Transactions!$D:$D)-SUMIF(Transactions!$C:$C,A13,Transactions!$E:$E)</f>
        <v>0</v>
      </c>
      <c r="C13" s="47"/>
    </row>
    <row r="14" spans="1:3" x14ac:dyDescent="0.35">
      <c r="A14" s="49" t="s">
        <v>18</v>
      </c>
      <c r="B14" s="49">
        <f>SUMIF(Transactions!$C:$C,A14,Transactions!$D:$D)-SUMIF(Transactions!$C:$C,A14,Transactions!$E:$E)</f>
        <v>0</v>
      </c>
      <c r="C14" s="50"/>
    </row>
    <row r="15" spans="1:3" x14ac:dyDescent="0.35">
      <c r="A15" s="46" t="s">
        <v>25</v>
      </c>
      <c r="B15" s="46">
        <f>SUMIF(Transactions!$C:$C,A15,Transactions!$D:$D)-SUMIF(Transactions!$C:$C,A15,Transactions!$E:$E)</f>
        <v>0</v>
      </c>
      <c r="C15" s="47"/>
    </row>
    <row r="16" spans="1:3" x14ac:dyDescent="0.35">
      <c r="A16" s="45" t="s">
        <v>82</v>
      </c>
      <c r="B16" s="46">
        <f>SUM(B12:B15)</f>
        <v>0</v>
      </c>
      <c r="C16" s="47"/>
    </row>
    <row r="17" spans="1:3" x14ac:dyDescent="0.35">
      <c r="A17" s="45"/>
      <c r="B17" s="46"/>
      <c r="C17" s="47"/>
    </row>
    <row r="18" spans="1:3" x14ac:dyDescent="0.35">
      <c r="A18" s="45" t="s">
        <v>83</v>
      </c>
      <c r="B18" s="46"/>
      <c r="C18" s="53">
        <f>B9+B16</f>
        <v>0</v>
      </c>
    </row>
    <row r="19" spans="1:3" x14ac:dyDescent="0.35">
      <c r="A19" s="45"/>
      <c r="B19" s="46"/>
      <c r="C19" s="47"/>
    </row>
    <row r="20" spans="1:3" x14ac:dyDescent="0.35">
      <c r="A20" s="48" t="s">
        <v>74</v>
      </c>
      <c r="B20" s="49"/>
      <c r="C20" s="50"/>
    </row>
    <row r="21" spans="1:3" x14ac:dyDescent="0.35">
      <c r="A21" s="46" t="s">
        <v>29</v>
      </c>
      <c r="B21" s="46">
        <f>SUMIF(Transactions!$C:$C,A21,Transactions!$E:$E)-SUMIF(Transactions!$C:$C,A21,Transactions!$D:$D)</f>
        <v>0</v>
      </c>
      <c r="C21" s="47"/>
    </row>
    <row r="22" spans="1:3" x14ac:dyDescent="0.35">
      <c r="A22" s="49" t="s">
        <v>84</v>
      </c>
      <c r="B22" s="46">
        <f>SUMIF(Transactions!$C:$C,A22,Transactions!$E:$E)-SUMIF(Transactions!$C:$C,A22,Transactions!$D:$D)</f>
        <v>0</v>
      </c>
      <c r="C22" s="50"/>
    </row>
    <row r="23" spans="1:3" x14ac:dyDescent="0.35">
      <c r="A23" s="46" t="s">
        <v>30</v>
      </c>
      <c r="B23" s="46">
        <f>SUMIF(Transactions!$C:$C,A23,Transactions!$E:$E)-SUMIF(Transactions!$C:$C,A23,Transactions!$D:$D)</f>
        <v>0</v>
      </c>
      <c r="C23" s="47"/>
    </row>
    <row r="24" spans="1:3" x14ac:dyDescent="0.35">
      <c r="A24" s="49" t="s">
        <v>41</v>
      </c>
      <c r="B24" s="49">
        <f>Income_Statement!B15</f>
        <v>0</v>
      </c>
      <c r="C24" s="50"/>
    </row>
    <row r="25" spans="1:3" x14ac:dyDescent="0.35">
      <c r="A25" s="45" t="s">
        <v>47</v>
      </c>
      <c r="B25" s="45">
        <f>SUM(B22:B24)</f>
        <v>0</v>
      </c>
      <c r="C25" s="47"/>
    </row>
    <row r="26" spans="1:3" x14ac:dyDescent="0.35">
      <c r="A26" s="49"/>
      <c r="B26" s="49"/>
      <c r="C26" s="50"/>
    </row>
    <row r="27" spans="1:3" x14ac:dyDescent="0.35">
      <c r="A27" s="48" t="s">
        <v>75</v>
      </c>
      <c r="B27" s="49"/>
      <c r="C27" s="49"/>
    </row>
    <row r="28" spans="1:3" x14ac:dyDescent="0.35">
      <c r="A28" s="49" t="s">
        <v>85</v>
      </c>
      <c r="B28" s="49">
        <f>SUMIF(Transactions!$C:$C,A28,Transactions!$E:$E)-SUMIF(Transactions!$C:$C,A28,Transactions!$D:$D)</f>
        <v>0</v>
      </c>
      <c r="C28" s="49"/>
    </row>
    <row r="29" spans="1:3" x14ac:dyDescent="0.35">
      <c r="A29" s="48" t="s">
        <v>86</v>
      </c>
      <c r="B29" s="48">
        <f>B28</f>
        <v>0</v>
      </c>
      <c r="C29" s="49"/>
    </row>
    <row r="30" spans="1:3" x14ac:dyDescent="0.35">
      <c r="A30" s="49"/>
      <c r="B30" s="49"/>
      <c r="C30" s="49"/>
    </row>
    <row r="31" spans="1:3" x14ac:dyDescent="0.35">
      <c r="A31" s="49" t="s">
        <v>91</v>
      </c>
      <c r="B31" s="49"/>
      <c r="C31" s="49"/>
    </row>
    <row r="32" spans="1:3" x14ac:dyDescent="0.35">
      <c r="A32" s="49" t="s">
        <v>87</v>
      </c>
      <c r="B32" s="49">
        <f>SUMIF(Transactions!$C:$C,A32,Transactions!$E:$E)-SUMIF(Transactions!$C:$C,A32,Transactions!$D:$D)</f>
        <v>0</v>
      </c>
      <c r="C32" s="49"/>
    </row>
    <row r="33" spans="1:3" x14ac:dyDescent="0.35">
      <c r="A33" s="48" t="s">
        <v>88</v>
      </c>
      <c r="B33" s="48">
        <f>B32</f>
        <v>0</v>
      </c>
      <c r="C33" s="49"/>
    </row>
    <row r="34" spans="1:3" x14ac:dyDescent="0.35">
      <c r="A34" s="49"/>
      <c r="B34" s="49"/>
      <c r="C34" s="49"/>
    </row>
    <row r="35" spans="1:3" x14ac:dyDescent="0.35">
      <c r="A35" s="51" t="s">
        <v>89</v>
      </c>
      <c r="B35" s="48">
        <f>B29+B33</f>
        <v>0</v>
      </c>
      <c r="C35" s="48"/>
    </row>
    <row r="36" spans="1:3" x14ac:dyDescent="0.35">
      <c r="A36" s="49"/>
      <c r="B36" s="49"/>
      <c r="C36" s="49"/>
    </row>
    <row r="37" spans="1:3" x14ac:dyDescent="0.35">
      <c r="A37" s="48" t="s">
        <v>90</v>
      </c>
      <c r="B37" s="49"/>
      <c r="C37" s="48">
        <f>B25+B35</f>
        <v>0</v>
      </c>
    </row>
    <row r="38" spans="1:3" x14ac:dyDescent="0.35">
      <c r="A38" s="49"/>
      <c r="B38" s="49"/>
      <c r="C38" s="49"/>
    </row>
    <row r="39" spans="1:3" x14ac:dyDescent="0.35">
      <c r="A39" s="48" t="s">
        <v>64</v>
      </c>
      <c r="B39" s="49"/>
      <c r="C39" s="48" t="str">
        <f>IF(C18=C37,"Balanced","Not Balanced")</f>
        <v>Balanced</v>
      </c>
    </row>
  </sheetData>
  <mergeCells count="2">
    <mergeCell ref="A1:C1"/>
    <mergeCell ref="A2:C2"/>
  </mergeCells>
  <conditionalFormatting sqref="A26:C34 B35:C35 A36:C39">
    <cfRule type="expression" dxfId="1" priority="1">
      <formula>$C$26="Not Balanced"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6"/>
  </sheetPr>
  <dimension ref="A1:F11"/>
  <sheetViews>
    <sheetView workbookViewId="0">
      <pane ySplit="3" topLeftCell="A4" activePane="bottomLeft" state="frozen"/>
      <selection pane="bottomLeft" activeCell="B12" sqref="B12"/>
    </sheetView>
  </sheetViews>
  <sheetFormatPr defaultRowHeight="14.5" x14ac:dyDescent="0.35"/>
  <cols>
    <col min="1" max="1" width="28" customWidth="1"/>
    <col min="2" max="2" width="20" customWidth="1"/>
    <col min="3" max="6" width="18" customWidth="1"/>
  </cols>
  <sheetData>
    <row r="1" spans="1:6" ht="24" customHeight="1" x14ac:dyDescent="0.35">
      <c r="A1" s="39" t="s">
        <v>0</v>
      </c>
      <c r="B1" s="30"/>
      <c r="C1" s="17"/>
      <c r="D1" s="17"/>
      <c r="E1" s="17"/>
      <c r="F1" s="18"/>
    </row>
    <row r="2" spans="1:6" ht="20" customHeight="1" x14ac:dyDescent="0.35">
      <c r="A2" s="37" t="s">
        <v>46</v>
      </c>
      <c r="B2" s="38"/>
      <c r="C2" s="17"/>
      <c r="D2" s="17"/>
      <c r="E2" s="17"/>
      <c r="F2" s="18"/>
    </row>
    <row r="3" spans="1:6" x14ac:dyDescent="0.35">
      <c r="A3" s="6"/>
      <c r="B3" s="6"/>
    </row>
    <row r="4" spans="1:6" x14ac:dyDescent="0.35">
      <c r="A4" s="11" t="s">
        <v>42</v>
      </c>
      <c r="B4" s="7">
        <f>Balance_Sheet!B18</f>
        <v>0</v>
      </c>
    </row>
    <row r="5" spans="1:6" x14ac:dyDescent="0.35">
      <c r="A5" s="3" t="s">
        <v>43</v>
      </c>
      <c r="B5" s="9">
        <f>Balance_Sheet!B35</f>
        <v>0</v>
      </c>
    </row>
    <row r="6" spans="1:6" x14ac:dyDescent="0.35">
      <c r="A6" s="11" t="s">
        <v>47</v>
      </c>
      <c r="B6" s="7">
        <f>Balance_Sheet!B25</f>
        <v>0</v>
      </c>
    </row>
    <row r="7" spans="1:6" x14ac:dyDescent="0.35">
      <c r="A7" s="3" t="s">
        <v>44</v>
      </c>
      <c r="B7" s="9">
        <f>Balance_Sheet!C37</f>
        <v>0</v>
      </c>
    </row>
    <row r="8" spans="1:6" x14ac:dyDescent="0.35">
      <c r="A8" s="11" t="s">
        <v>45</v>
      </c>
      <c r="B8" s="7" t="str">
        <f>Balance_Sheet!C39</f>
        <v>Balanced</v>
      </c>
    </row>
    <row r="9" spans="1:6" x14ac:dyDescent="0.35">
      <c r="A9" s="3" t="s">
        <v>48</v>
      </c>
      <c r="B9" s="9">
        <f>Trial_Balance!B22</f>
        <v>0</v>
      </c>
    </row>
    <row r="10" spans="1:6" x14ac:dyDescent="0.35">
      <c r="A10" s="11" t="s">
        <v>49</v>
      </c>
      <c r="B10" s="7">
        <f>Trial_Balance!C22</f>
        <v>0</v>
      </c>
    </row>
    <row r="11" spans="1:6" x14ac:dyDescent="0.35">
      <c r="A11" s="3" t="s">
        <v>41</v>
      </c>
      <c r="B11" s="9">
        <f>Income_Statement!C16</f>
        <v>0</v>
      </c>
    </row>
  </sheetData>
  <mergeCells count="2">
    <mergeCell ref="A2:B2"/>
    <mergeCell ref="A1:B1"/>
  </mergeCells>
  <conditionalFormatting sqref="A8:B8">
    <cfRule type="expression" dxfId="0" priority="1">
      <formula>$B8="Not Balanced"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Chart_of_Accounts</vt:lpstr>
      <vt:lpstr>Transactions</vt:lpstr>
      <vt:lpstr>General_Ledger</vt:lpstr>
      <vt:lpstr>Trial_Balance</vt:lpstr>
      <vt:lpstr>Income_Statement</vt:lpstr>
      <vt:lpstr>Balance_Sheet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Frimpong Kyei-Baffour</dc:creator>
  <cp:lastModifiedBy>Emmanuel Frimpong Kyei-Baffour</cp:lastModifiedBy>
  <dcterms:created xsi:type="dcterms:W3CDTF">2026-03-31T07:06:31Z</dcterms:created>
  <dcterms:modified xsi:type="dcterms:W3CDTF">2026-03-31T22:32:19Z</dcterms:modified>
</cp:coreProperties>
</file>